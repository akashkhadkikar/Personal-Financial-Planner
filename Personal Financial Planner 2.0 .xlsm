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LL\OneDrive\Desktop\iFEEL Subjects\SEM III\FA&amp;AI\Macro\Update\"/>
    </mc:Choice>
  </mc:AlternateContent>
  <xr:revisionPtr revIDLastSave="0" documentId="13_ncr:1_{9E02A31B-6C20-45B9-9F51-13D86C19FECD}" xr6:coauthVersionLast="47" xr6:coauthVersionMax="47" xr10:uidLastSave="{00000000-0000-0000-0000-000000000000}"/>
  <bookViews>
    <workbookView xWindow="-108" yWindow="-108" windowWidth="23256" windowHeight="12456" tabRatio="736" activeTab="1" xr2:uid="{00000000-000D-0000-FFFF-FFFF00000000}"/>
  </bookViews>
  <sheets>
    <sheet name="Notes" sheetId="14" r:id="rId1"/>
    <sheet name="Instructions" sheetId="12" r:id="rId2"/>
    <sheet name="Dashboard" sheetId="9" r:id="rId3"/>
    <sheet name="Cashflows" sheetId="6" r:id="rId4"/>
    <sheet name="Variance" sheetId="5" r:id="rId5"/>
    <sheet name="Actual" sheetId="4" r:id="rId6"/>
    <sheet name="Total Investments" sheetId="13" r:id="rId7"/>
    <sheet name="Budget" sheetId="3" r:id="rId8"/>
    <sheet name="Inputs" sheetId="2" r:id="rId9"/>
    <sheet name="DATA" sheetId="11" r:id="rId10"/>
  </sheets>
  <definedNames>
    <definedName name="_xlcn.WorksheetConnection_CashflowsB4N251" hidden="1">Cashflows!$B$4:$Q$25</definedName>
    <definedName name="_xlcn.WorksheetConnection_PersonalFinancialPlanner.xlsxActual1" hidden="1">Actual[]</definedName>
    <definedName name="_xlcn.WorksheetConnection_PersonalFinancialPlanner.xlsxBudget1" hidden="1">Budget[]</definedName>
    <definedName name="_xlnm.Print_Area" localSheetId="3">Cashflows!$A$1:$Q$44</definedName>
    <definedName name="_xlnm.Print_Area" localSheetId="9">DATA!$A$1:$Q$47</definedName>
    <definedName name="_xlnm.Print_Area" localSheetId="4">Variance!$A$1:$Q$59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ctual" name="Actual" connection="WorksheetConnection_Personal Financial Planner.xlsx!Actual"/>
          <x15:modelTable id="Range" name="Range" connection="WorksheetConnection_Cashflows!$B$4:$N$25"/>
          <x15:modelTable id="Budget" name="Budget" connection="WorksheetConnection_Personal Financial Planner.xlsx!Budget"/>
        </x15:modelTables>
      </x15:dataModel>
    </ext>
  </extLst>
</workbook>
</file>

<file path=xl/calcChain.xml><?xml version="1.0" encoding="utf-8"?>
<calcChain xmlns="http://schemas.openxmlformats.org/spreadsheetml/2006/main">
  <c r="S52" i="3" l="1"/>
  <c r="S43" i="3"/>
  <c r="S44" i="3"/>
  <c r="S45" i="3"/>
  <c r="S46" i="3"/>
  <c r="S47" i="3"/>
  <c r="S48" i="3"/>
  <c r="S49" i="3"/>
  <c r="S50" i="3"/>
  <c r="S42" i="3"/>
  <c r="S18" i="3"/>
  <c r="S19" i="3"/>
  <c r="S20" i="3"/>
  <c r="S22" i="3"/>
  <c r="S16" i="3"/>
  <c r="S10" i="3"/>
  <c r="S6" i="3"/>
  <c r="S53" i="3"/>
  <c r="S51" i="3"/>
  <c r="S32" i="3"/>
  <c r="S31" i="3"/>
  <c r="S29" i="3"/>
  <c r="S28" i="3"/>
  <c r="S5" i="3"/>
  <c r="F16" i="6"/>
  <c r="G16" i="6"/>
  <c r="H16" i="6"/>
  <c r="J16" i="6"/>
  <c r="K16" i="6"/>
  <c r="L16" i="6"/>
  <c r="N16" i="6"/>
  <c r="O16" i="6"/>
  <c r="P16" i="6"/>
  <c r="Q16" i="6"/>
  <c r="S5" i="4"/>
  <c r="S9" i="4"/>
  <c r="S10" i="4"/>
  <c r="S11" i="4"/>
  <c r="S16" i="4"/>
  <c r="S17" i="4"/>
  <c r="S18" i="4"/>
  <c r="S19" i="4"/>
  <c r="S20" i="4"/>
  <c r="S21" i="4"/>
  <c r="S22" i="4"/>
  <c r="S24" i="4"/>
  <c r="S28" i="4"/>
  <c r="S29" i="4"/>
  <c r="S31" i="4"/>
  <c r="S32" i="4"/>
  <c r="S43" i="4"/>
  <c r="S44" i="4"/>
  <c r="S45" i="4"/>
  <c r="S47" i="4"/>
  <c r="S48" i="4"/>
  <c r="S50" i="4"/>
  <c r="S51" i="4"/>
  <c r="S53" i="4"/>
  <c r="C7" i="13"/>
  <c r="R7" i="13" s="1"/>
  <c r="D7" i="13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C8" i="13"/>
  <c r="R8" i="13" s="1"/>
  <c r="D8" i="13"/>
  <c r="E8" i="13"/>
  <c r="F8" i="13"/>
  <c r="G8" i="13"/>
  <c r="H8" i="13"/>
  <c r="I8" i="13"/>
  <c r="J8" i="13"/>
  <c r="K8" i="13"/>
  <c r="L8" i="13"/>
  <c r="M8" i="13"/>
  <c r="N8" i="13"/>
  <c r="O8" i="13"/>
  <c r="P8" i="13"/>
  <c r="Q8" i="13"/>
  <c r="C9" i="13"/>
  <c r="D9" i="13"/>
  <c r="E9" i="13"/>
  <c r="F9" i="13"/>
  <c r="R9" i="13" s="1"/>
  <c r="G9" i="13"/>
  <c r="H9" i="13"/>
  <c r="I9" i="13"/>
  <c r="J9" i="13"/>
  <c r="K9" i="13"/>
  <c r="L9" i="13"/>
  <c r="M9" i="13"/>
  <c r="N9" i="13"/>
  <c r="O9" i="13"/>
  <c r="P9" i="13"/>
  <c r="Q9" i="13"/>
  <c r="C10" i="13"/>
  <c r="D10" i="13"/>
  <c r="E10" i="13"/>
  <c r="F10" i="13"/>
  <c r="G10" i="13"/>
  <c r="H10" i="13"/>
  <c r="I10" i="13"/>
  <c r="J10" i="13"/>
  <c r="K10" i="13"/>
  <c r="L10" i="13"/>
  <c r="N10" i="13"/>
  <c r="O10" i="13"/>
  <c r="P10" i="13"/>
  <c r="Q10" i="13"/>
  <c r="C11" i="13"/>
  <c r="R11" i="13" s="1"/>
  <c r="D11" i="13"/>
  <c r="E11" i="13"/>
  <c r="F11" i="13"/>
  <c r="G11" i="13"/>
  <c r="H11" i="13"/>
  <c r="I11" i="13"/>
  <c r="J11" i="13"/>
  <c r="K11" i="13"/>
  <c r="L11" i="13"/>
  <c r="M11" i="13"/>
  <c r="N11" i="13"/>
  <c r="O11" i="13"/>
  <c r="P11" i="13"/>
  <c r="Q11" i="13"/>
  <c r="C12" i="13"/>
  <c r="D12" i="13"/>
  <c r="R12" i="13" s="1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D13" i="13"/>
  <c r="E13" i="13"/>
  <c r="F13" i="13"/>
  <c r="G13" i="13"/>
  <c r="H13" i="13"/>
  <c r="I13" i="13"/>
  <c r="J13" i="13"/>
  <c r="K13" i="13"/>
  <c r="L13" i="13"/>
  <c r="M13" i="13"/>
  <c r="N13" i="13"/>
  <c r="O13" i="13"/>
  <c r="P13" i="13"/>
  <c r="Q13" i="13"/>
  <c r="C14" i="13"/>
  <c r="R14" i="13" s="1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E16" i="13"/>
  <c r="F16" i="13"/>
  <c r="G16" i="13"/>
  <c r="D6" i="13"/>
  <c r="E6" i="13"/>
  <c r="F6" i="13"/>
  <c r="G6" i="13"/>
  <c r="H6" i="13"/>
  <c r="J6" i="13"/>
  <c r="K6" i="13"/>
  <c r="L6" i="13"/>
  <c r="M6" i="13"/>
  <c r="N6" i="13"/>
  <c r="O6" i="13"/>
  <c r="P6" i="13"/>
  <c r="Q6" i="13"/>
  <c r="Q4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C4" i="13"/>
  <c r="B16" i="13"/>
  <c r="B18" i="13"/>
  <c r="B5" i="13"/>
  <c r="B6" i="13"/>
  <c r="B7" i="13"/>
  <c r="B8" i="13"/>
  <c r="B9" i="13"/>
  <c r="B10" i="13"/>
  <c r="B11" i="13"/>
  <c r="B12" i="13"/>
  <c r="B13" i="13"/>
  <c r="B14" i="13"/>
  <c r="R17" i="4"/>
  <c r="R18" i="4"/>
  <c r="R19" i="4"/>
  <c r="R20" i="4"/>
  <c r="R21" i="4"/>
  <c r="R22" i="4"/>
  <c r="R16" i="4"/>
  <c r="R9" i="4"/>
  <c r="R10" i="4"/>
  <c r="R11" i="4"/>
  <c r="R42" i="4"/>
  <c r="R43" i="4"/>
  <c r="R44" i="4"/>
  <c r="R45" i="4"/>
  <c r="R46" i="4"/>
  <c r="R47" i="4"/>
  <c r="R48" i="4"/>
  <c r="R49" i="4"/>
  <c r="R50" i="4"/>
  <c r="R43" i="3"/>
  <c r="R44" i="3"/>
  <c r="R45" i="3"/>
  <c r="R46" i="3"/>
  <c r="R47" i="3"/>
  <c r="R48" i="3"/>
  <c r="R49" i="3"/>
  <c r="R50" i="3"/>
  <c r="R42" i="3"/>
  <c r="R18" i="3"/>
  <c r="R19" i="3"/>
  <c r="R20" i="3"/>
  <c r="R22" i="3"/>
  <c r="R16" i="3"/>
  <c r="R10" i="3"/>
  <c r="R6" i="3"/>
  <c r="D11" i="3"/>
  <c r="D11" i="5" s="1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C11" i="3"/>
  <c r="D8" i="3"/>
  <c r="D8" i="5" s="1"/>
  <c r="E8" i="3"/>
  <c r="E8" i="5" s="1"/>
  <c r="F8" i="3"/>
  <c r="G8" i="3"/>
  <c r="H8" i="3"/>
  <c r="I8" i="3"/>
  <c r="J8" i="3"/>
  <c r="K8" i="3"/>
  <c r="L8" i="3"/>
  <c r="M8" i="3"/>
  <c r="N8" i="3"/>
  <c r="O8" i="3"/>
  <c r="P8" i="3"/>
  <c r="Q8" i="3"/>
  <c r="C8" i="3"/>
  <c r="C8" i="5" s="1"/>
  <c r="D7" i="3"/>
  <c r="E7" i="3"/>
  <c r="E7" i="5" s="1"/>
  <c r="F7" i="3"/>
  <c r="G7" i="3"/>
  <c r="H7" i="3"/>
  <c r="I7" i="3"/>
  <c r="J7" i="3"/>
  <c r="K7" i="3"/>
  <c r="L7" i="3"/>
  <c r="M7" i="3"/>
  <c r="N7" i="3"/>
  <c r="O7" i="3"/>
  <c r="P7" i="3"/>
  <c r="Q7" i="3"/>
  <c r="C7" i="3"/>
  <c r="C52" i="3"/>
  <c r="Q8" i="4"/>
  <c r="D12" i="6"/>
  <c r="D20" i="6" s="1"/>
  <c r="E12" i="6"/>
  <c r="E20" i="6" s="1"/>
  <c r="F12" i="6"/>
  <c r="F20" i="6" s="1"/>
  <c r="G12" i="6"/>
  <c r="G20" i="6" s="1"/>
  <c r="H12" i="6"/>
  <c r="H20" i="6" s="1"/>
  <c r="I12" i="6"/>
  <c r="I20" i="6" s="1"/>
  <c r="J12" i="6"/>
  <c r="J20" i="6" s="1"/>
  <c r="K12" i="6"/>
  <c r="K20" i="6" s="1"/>
  <c r="L12" i="6"/>
  <c r="L20" i="6" s="1"/>
  <c r="M12" i="6"/>
  <c r="M20" i="6" s="1"/>
  <c r="N12" i="6"/>
  <c r="N20" i="6" s="1"/>
  <c r="O12" i="6"/>
  <c r="O20" i="6" s="1"/>
  <c r="P12" i="6"/>
  <c r="P20" i="6" s="1"/>
  <c r="Q12" i="6"/>
  <c r="Q20" i="6" s="1"/>
  <c r="C12" i="6"/>
  <c r="C20" i="6" s="1"/>
  <c r="C21" i="11"/>
  <c r="C31" i="4"/>
  <c r="C30" i="4"/>
  <c r="C29" i="4"/>
  <c r="C11" i="11"/>
  <c r="D43" i="5"/>
  <c r="E43" i="5"/>
  <c r="D44" i="5"/>
  <c r="E46" i="5"/>
  <c r="D47" i="5"/>
  <c r="E47" i="5"/>
  <c r="D48" i="5"/>
  <c r="D42" i="5"/>
  <c r="E42" i="5"/>
  <c r="C19" i="5"/>
  <c r="D22" i="5"/>
  <c r="E10" i="5"/>
  <c r="D11" i="11"/>
  <c r="D42" i="4"/>
  <c r="E42" i="4"/>
  <c r="F42" i="4"/>
  <c r="F52" i="4" s="1"/>
  <c r="G42" i="4"/>
  <c r="G52" i="4" s="1"/>
  <c r="H42" i="4"/>
  <c r="H52" i="4" s="1"/>
  <c r="H16" i="13" s="1"/>
  <c r="I42" i="4"/>
  <c r="I6" i="13" s="1"/>
  <c r="J42" i="4"/>
  <c r="K42" i="4"/>
  <c r="L42" i="4"/>
  <c r="M42" i="4"/>
  <c r="N42" i="4"/>
  <c r="O42" i="4"/>
  <c r="P42" i="4"/>
  <c r="Q42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D44" i="4"/>
  <c r="E44" i="4"/>
  <c r="E44" i="5" s="1"/>
  <c r="F44" i="4"/>
  <c r="G44" i="4"/>
  <c r="H44" i="4"/>
  <c r="I44" i="4"/>
  <c r="J44" i="4"/>
  <c r="K44" i="4"/>
  <c r="L44" i="4"/>
  <c r="M44" i="4"/>
  <c r="N44" i="4"/>
  <c r="O44" i="4"/>
  <c r="P44" i="4"/>
  <c r="Q44" i="4"/>
  <c r="D45" i="4"/>
  <c r="D45" i="5" s="1"/>
  <c r="E45" i="4"/>
  <c r="E52" i="4" s="1"/>
  <c r="F45" i="4"/>
  <c r="G45" i="4"/>
  <c r="H45" i="4"/>
  <c r="I45" i="4"/>
  <c r="J45" i="4"/>
  <c r="K45" i="4"/>
  <c r="L45" i="4"/>
  <c r="M45" i="4"/>
  <c r="N45" i="4"/>
  <c r="O45" i="4"/>
  <c r="P45" i="4"/>
  <c r="Q45" i="4"/>
  <c r="D46" i="4"/>
  <c r="D46" i="5" s="1"/>
  <c r="E46" i="4"/>
  <c r="F46" i="4"/>
  <c r="G46" i="4"/>
  <c r="H46" i="4"/>
  <c r="I46" i="4"/>
  <c r="J46" i="4"/>
  <c r="K46" i="4"/>
  <c r="L46" i="4"/>
  <c r="M46" i="4"/>
  <c r="M10" i="13" s="1"/>
  <c r="N46" i="4"/>
  <c r="O46" i="4"/>
  <c r="P46" i="4"/>
  <c r="Q46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D48" i="4"/>
  <c r="E48" i="4"/>
  <c r="E48" i="5" s="1"/>
  <c r="F48" i="4"/>
  <c r="G48" i="4"/>
  <c r="H48" i="4"/>
  <c r="I48" i="4"/>
  <c r="J48" i="4"/>
  <c r="K48" i="4"/>
  <c r="L48" i="4"/>
  <c r="M48" i="4"/>
  <c r="N48" i="4"/>
  <c r="O48" i="4"/>
  <c r="P48" i="4"/>
  <c r="Q48" i="4"/>
  <c r="D49" i="4"/>
  <c r="D49" i="5" s="1"/>
  <c r="E49" i="4"/>
  <c r="E49" i="5" s="1"/>
  <c r="F49" i="4"/>
  <c r="G49" i="4"/>
  <c r="H49" i="4"/>
  <c r="I49" i="4"/>
  <c r="J49" i="4"/>
  <c r="K49" i="4"/>
  <c r="L49" i="4"/>
  <c r="M49" i="4"/>
  <c r="N49" i="4"/>
  <c r="O49" i="4"/>
  <c r="P49" i="4"/>
  <c r="Q49" i="4"/>
  <c r="D50" i="4"/>
  <c r="D50" i="5" s="1"/>
  <c r="E50" i="4"/>
  <c r="E50" i="5" s="1"/>
  <c r="F50" i="4"/>
  <c r="G50" i="4"/>
  <c r="H50" i="4"/>
  <c r="I50" i="4"/>
  <c r="J50" i="4"/>
  <c r="K50" i="4"/>
  <c r="L50" i="4"/>
  <c r="M50" i="4"/>
  <c r="N50" i="4"/>
  <c r="O50" i="4"/>
  <c r="P50" i="4"/>
  <c r="Q50" i="4"/>
  <c r="C43" i="4"/>
  <c r="C44" i="4"/>
  <c r="C45" i="4"/>
  <c r="C45" i="5" s="1"/>
  <c r="C46" i="4"/>
  <c r="C47" i="4"/>
  <c r="C47" i="5" s="1"/>
  <c r="C48" i="4"/>
  <c r="C48" i="5" s="1"/>
  <c r="C49" i="4"/>
  <c r="S49" i="4" s="1"/>
  <c r="C50" i="4"/>
  <c r="C42" i="4"/>
  <c r="C6" i="13" s="1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D30" i="4"/>
  <c r="E30" i="4"/>
  <c r="F30" i="4"/>
  <c r="G30" i="4"/>
  <c r="H30" i="4"/>
  <c r="I30" i="4"/>
  <c r="S30" i="4" s="1"/>
  <c r="J30" i="4"/>
  <c r="K30" i="4"/>
  <c r="L30" i="4"/>
  <c r="M30" i="4"/>
  <c r="N30" i="4"/>
  <c r="O30" i="4"/>
  <c r="P30" i="4"/>
  <c r="Q30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D28" i="4"/>
  <c r="E28" i="4"/>
  <c r="E34" i="4" s="1"/>
  <c r="F28" i="4"/>
  <c r="G28" i="4"/>
  <c r="H28" i="4"/>
  <c r="I28" i="4"/>
  <c r="J28" i="4"/>
  <c r="K28" i="4"/>
  <c r="L28" i="4"/>
  <c r="M28" i="4"/>
  <c r="N28" i="4"/>
  <c r="O28" i="4"/>
  <c r="P28" i="4"/>
  <c r="Q28" i="4"/>
  <c r="C28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C18" i="4"/>
  <c r="D18" i="4"/>
  <c r="D18" i="5" s="1"/>
  <c r="E18" i="4"/>
  <c r="E18" i="5" s="1"/>
  <c r="F18" i="4"/>
  <c r="G18" i="4"/>
  <c r="H18" i="4"/>
  <c r="I18" i="4"/>
  <c r="J18" i="4"/>
  <c r="K18" i="4"/>
  <c r="L18" i="4"/>
  <c r="M18" i="4"/>
  <c r="N18" i="4"/>
  <c r="O18" i="4"/>
  <c r="P18" i="4"/>
  <c r="Q18" i="4"/>
  <c r="C19" i="4"/>
  <c r="D19" i="4"/>
  <c r="D19" i="5" s="1"/>
  <c r="E19" i="4"/>
  <c r="E19" i="5" s="1"/>
  <c r="F19" i="4"/>
  <c r="G19" i="4"/>
  <c r="H19" i="4"/>
  <c r="I19" i="4"/>
  <c r="J19" i="4"/>
  <c r="K19" i="4"/>
  <c r="L19" i="4"/>
  <c r="M19" i="4"/>
  <c r="N19" i="4"/>
  <c r="O19" i="4"/>
  <c r="P19" i="4"/>
  <c r="Q19" i="4"/>
  <c r="C20" i="4"/>
  <c r="C20" i="5" s="1"/>
  <c r="D20" i="4"/>
  <c r="D20" i="5" s="1"/>
  <c r="E20" i="4"/>
  <c r="E20" i="5" s="1"/>
  <c r="F20" i="4"/>
  <c r="G20" i="4"/>
  <c r="H20" i="4"/>
  <c r="I20" i="4"/>
  <c r="J20" i="4"/>
  <c r="K20" i="4"/>
  <c r="L20" i="4"/>
  <c r="M20" i="4"/>
  <c r="N20" i="4"/>
  <c r="O20" i="4"/>
  <c r="P20" i="4"/>
  <c r="Q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C22" i="4"/>
  <c r="C22" i="5" s="1"/>
  <c r="D22" i="4"/>
  <c r="E22" i="4"/>
  <c r="E22" i="5" s="1"/>
  <c r="F22" i="4"/>
  <c r="G22" i="4"/>
  <c r="H22" i="4"/>
  <c r="I22" i="4"/>
  <c r="J22" i="4"/>
  <c r="K22" i="4"/>
  <c r="L22" i="4"/>
  <c r="M22" i="4"/>
  <c r="N22" i="4"/>
  <c r="O22" i="4"/>
  <c r="P22" i="4"/>
  <c r="Q22" i="4"/>
  <c r="D16" i="4"/>
  <c r="E16" i="4"/>
  <c r="E16" i="5" s="1"/>
  <c r="F16" i="4"/>
  <c r="G16" i="4"/>
  <c r="H16" i="4"/>
  <c r="I16" i="4"/>
  <c r="J16" i="4"/>
  <c r="K16" i="4"/>
  <c r="L16" i="4"/>
  <c r="M16" i="4"/>
  <c r="N16" i="4"/>
  <c r="O16" i="4"/>
  <c r="P16" i="4"/>
  <c r="Q16" i="4"/>
  <c r="C16" i="4"/>
  <c r="C24" i="4" s="1"/>
  <c r="C7" i="4"/>
  <c r="D7" i="4"/>
  <c r="E7" i="4"/>
  <c r="F7" i="4"/>
  <c r="G7" i="4"/>
  <c r="H7" i="4"/>
  <c r="I7" i="4"/>
  <c r="R7" i="4" s="1"/>
  <c r="J7" i="4"/>
  <c r="K7" i="4"/>
  <c r="L7" i="4"/>
  <c r="M7" i="4"/>
  <c r="N7" i="4"/>
  <c r="O7" i="4"/>
  <c r="P7" i="4"/>
  <c r="Q7" i="4"/>
  <c r="C8" i="4"/>
  <c r="D8" i="4"/>
  <c r="E8" i="4"/>
  <c r="F8" i="4"/>
  <c r="G8" i="4"/>
  <c r="H8" i="4"/>
  <c r="I8" i="4"/>
  <c r="S8" i="4" s="1"/>
  <c r="J8" i="4"/>
  <c r="K8" i="4"/>
  <c r="L8" i="4"/>
  <c r="M8" i="4"/>
  <c r="N8" i="4"/>
  <c r="O8" i="4"/>
  <c r="P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C10" i="4"/>
  <c r="D10" i="4"/>
  <c r="D10" i="5" s="1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D6" i="4"/>
  <c r="D6" i="5" s="1"/>
  <c r="E6" i="4"/>
  <c r="E6" i="5" s="1"/>
  <c r="F6" i="4"/>
  <c r="G6" i="4"/>
  <c r="H6" i="4"/>
  <c r="I6" i="4"/>
  <c r="J6" i="4"/>
  <c r="K6" i="4"/>
  <c r="L6" i="4"/>
  <c r="M6" i="4"/>
  <c r="N6" i="4"/>
  <c r="O6" i="4"/>
  <c r="P6" i="4"/>
  <c r="Q6" i="4"/>
  <c r="C6" i="4"/>
  <c r="C6" i="5" s="1"/>
  <c r="C9" i="3"/>
  <c r="C9" i="5" s="1"/>
  <c r="D9" i="3"/>
  <c r="D9" i="5" s="1"/>
  <c r="E9" i="3"/>
  <c r="E9" i="5" s="1"/>
  <c r="F9" i="3"/>
  <c r="G9" i="3"/>
  <c r="H9" i="3"/>
  <c r="I9" i="3"/>
  <c r="J9" i="3"/>
  <c r="K9" i="3"/>
  <c r="L9" i="3"/>
  <c r="M9" i="3"/>
  <c r="N9" i="3"/>
  <c r="O9" i="3"/>
  <c r="P9" i="3"/>
  <c r="Q9" i="3"/>
  <c r="D52" i="3"/>
  <c r="C28" i="3"/>
  <c r="C28" i="5" s="1"/>
  <c r="D28" i="3"/>
  <c r="D28" i="5" s="1"/>
  <c r="E28" i="3"/>
  <c r="E28" i="5" s="1"/>
  <c r="C29" i="3"/>
  <c r="D29" i="3"/>
  <c r="D29" i="5" s="1"/>
  <c r="E29" i="3"/>
  <c r="E29" i="5" s="1"/>
  <c r="C30" i="3"/>
  <c r="D30" i="3"/>
  <c r="D30" i="5" s="1"/>
  <c r="E30" i="3"/>
  <c r="E30" i="5" s="1"/>
  <c r="C31" i="3"/>
  <c r="D31" i="3"/>
  <c r="D31" i="5" s="1"/>
  <c r="E31" i="3"/>
  <c r="E31" i="5" s="1"/>
  <c r="C32" i="3"/>
  <c r="D32" i="3"/>
  <c r="D32" i="5" s="1"/>
  <c r="E32" i="3"/>
  <c r="E32" i="5" s="1"/>
  <c r="C17" i="3"/>
  <c r="D17" i="3"/>
  <c r="D17" i="5" s="1"/>
  <c r="E17" i="3"/>
  <c r="E17" i="5" s="1"/>
  <c r="C21" i="3"/>
  <c r="C21" i="5" s="1"/>
  <c r="D21" i="3"/>
  <c r="D21" i="5" s="1"/>
  <c r="E21" i="3"/>
  <c r="E21" i="5" s="1"/>
  <c r="C22" i="3"/>
  <c r="D22" i="3"/>
  <c r="E2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Q45" i="11"/>
  <c r="P45" i="11"/>
  <c r="O45" i="11"/>
  <c r="N45" i="11"/>
  <c r="M45" i="11"/>
  <c r="L45" i="11"/>
  <c r="K45" i="11"/>
  <c r="J45" i="11"/>
  <c r="I45" i="11"/>
  <c r="H45" i="11"/>
  <c r="G45" i="11"/>
  <c r="F45" i="11"/>
  <c r="E45" i="11"/>
  <c r="D45" i="11"/>
  <c r="C45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Q21" i="11"/>
  <c r="P21" i="11"/>
  <c r="P31" i="11" s="1"/>
  <c r="O21" i="11"/>
  <c r="N21" i="11"/>
  <c r="M21" i="11"/>
  <c r="L21" i="11"/>
  <c r="K21" i="11"/>
  <c r="K31" i="11" s="1"/>
  <c r="J21" i="11"/>
  <c r="I21" i="11"/>
  <c r="H21" i="11"/>
  <c r="H31" i="11" s="1"/>
  <c r="G21" i="11"/>
  <c r="G31" i="11" s="1"/>
  <c r="F21" i="11"/>
  <c r="E21" i="11"/>
  <c r="D2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S30" i="3" l="1"/>
  <c r="C13" i="13"/>
  <c r="R13" i="13" s="1"/>
  <c r="C49" i="5"/>
  <c r="S6" i="4"/>
  <c r="R6" i="13"/>
  <c r="S42" i="4"/>
  <c r="R6" i="4"/>
  <c r="R52" i="3"/>
  <c r="R52" i="4"/>
  <c r="S11" i="3"/>
  <c r="S7" i="3"/>
  <c r="S9" i="3"/>
  <c r="S8" i="3"/>
  <c r="R10" i="13"/>
  <c r="S46" i="4"/>
  <c r="R8" i="4"/>
  <c r="S7" i="4"/>
  <c r="R24" i="4"/>
  <c r="R7" i="3"/>
  <c r="R11" i="3"/>
  <c r="R9" i="3"/>
  <c r="R8" i="3"/>
  <c r="M52" i="4"/>
  <c r="L52" i="4"/>
  <c r="L16" i="13" s="1"/>
  <c r="J52" i="4"/>
  <c r="J16" i="13" s="1"/>
  <c r="N52" i="4"/>
  <c r="N16" i="13" s="1"/>
  <c r="O52" i="4"/>
  <c r="O16" i="13" s="1"/>
  <c r="K52" i="4"/>
  <c r="K16" i="13" s="1"/>
  <c r="Q52" i="4"/>
  <c r="Q16" i="13" s="1"/>
  <c r="I52" i="4"/>
  <c r="I16" i="13" s="1"/>
  <c r="P52" i="4"/>
  <c r="P16" i="13" s="1"/>
  <c r="J31" i="11"/>
  <c r="J33" i="11" s="1"/>
  <c r="J47" i="11" s="1"/>
  <c r="O31" i="11"/>
  <c r="D52" i="5"/>
  <c r="D52" i="4"/>
  <c r="D16" i="13" s="1"/>
  <c r="E45" i="5"/>
  <c r="E52" i="5" s="1"/>
  <c r="F31" i="11"/>
  <c r="F33" i="11" s="1"/>
  <c r="F47" i="11" s="1"/>
  <c r="N31" i="11"/>
  <c r="I31" i="11"/>
  <c r="I33" i="11" s="1"/>
  <c r="I47" i="11" s="1"/>
  <c r="Q31" i="11"/>
  <c r="Q33" i="11" s="1"/>
  <c r="Q47" i="11" s="1"/>
  <c r="D31" i="11"/>
  <c r="L31" i="11"/>
  <c r="L33" i="11" s="1"/>
  <c r="L47" i="11" s="1"/>
  <c r="E31" i="11"/>
  <c r="E33" i="11" s="1"/>
  <c r="E47" i="11" s="1"/>
  <c r="M31" i="11"/>
  <c r="M33" i="11" s="1"/>
  <c r="M47" i="11" s="1"/>
  <c r="P33" i="11"/>
  <c r="P47" i="11" s="1"/>
  <c r="O33" i="11"/>
  <c r="O47" i="11" s="1"/>
  <c r="H33" i="11"/>
  <c r="H47" i="11" s="1"/>
  <c r="G33" i="11"/>
  <c r="G47" i="11" s="1"/>
  <c r="D24" i="4"/>
  <c r="D16" i="5"/>
  <c r="E11" i="5"/>
  <c r="N33" i="11"/>
  <c r="N47" i="11" s="1"/>
  <c r="D7" i="5"/>
  <c r="C16" i="5"/>
  <c r="C44" i="5"/>
  <c r="C52" i="4"/>
  <c r="C16" i="13" s="1"/>
  <c r="C46" i="5"/>
  <c r="C42" i="5"/>
  <c r="C43" i="5"/>
  <c r="C24" i="3"/>
  <c r="C50" i="5"/>
  <c r="C32" i="5"/>
  <c r="C29" i="11"/>
  <c r="C31" i="11" s="1"/>
  <c r="C33" i="11" s="1"/>
  <c r="C47" i="11" s="1"/>
  <c r="C31" i="5"/>
  <c r="C30" i="5"/>
  <c r="C29" i="5"/>
  <c r="C17" i="5"/>
  <c r="C18" i="5"/>
  <c r="C12" i="4"/>
  <c r="C15" i="6" s="1"/>
  <c r="C10" i="5"/>
  <c r="C11" i="5"/>
  <c r="C7" i="5"/>
  <c r="E24" i="4"/>
  <c r="E36" i="4" s="1"/>
  <c r="E16" i="6" s="1"/>
  <c r="D34" i="4"/>
  <c r="C34" i="4"/>
  <c r="E12" i="4"/>
  <c r="D12" i="4"/>
  <c r="D24" i="3"/>
  <c r="C34" i="3"/>
  <c r="C12" i="3"/>
  <c r="E34" i="3"/>
  <c r="E34" i="5" s="1"/>
  <c r="E24" i="3"/>
  <c r="D34" i="3"/>
  <c r="E12" i="3"/>
  <c r="D12" i="3"/>
  <c r="K33" i="11"/>
  <c r="K47" i="11" s="1"/>
  <c r="D33" i="11"/>
  <c r="D47" i="11" s="1"/>
  <c r="G46" i="5"/>
  <c r="H46" i="5"/>
  <c r="I46" i="5"/>
  <c r="J46" i="5"/>
  <c r="K46" i="5"/>
  <c r="L46" i="5"/>
  <c r="M46" i="5"/>
  <c r="N46" i="5"/>
  <c r="O46" i="5"/>
  <c r="P46" i="5"/>
  <c r="Q46" i="5"/>
  <c r="F46" i="5"/>
  <c r="F45" i="5"/>
  <c r="G45" i="5"/>
  <c r="H45" i="5"/>
  <c r="I45" i="5"/>
  <c r="J45" i="5"/>
  <c r="K45" i="5"/>
  <c r="L45" i="5"/>
  <c r="M45" i="5"/>
  <c r="N45" i="5"/>
  <c r="O45" i="5"/>
  <c r="P45" i="5"/>
  <c r="Q45" i="5"/>
  <c r="F43" i="5"/>
  <c r="G43" i="5"/>
  <c r="H43" i="5"/>
  <c r="I43" i="5"/>
  <c r="J43" i="5"/>
  <c r="K43" i="5"/>
  <c r="L43" i="5"/>
  <c r="M43" i="5"/>
  <c r="N43" i="5"/>
  <c r="O43" i="5"/>
  <c r="P43" i="5"/>
  <c r="Q43" i="5"/>
  <c r="F44" i="5"/>
  <c r="G44" i="5"/>
  <c r="H44" i="5"/>
  <c r="I44" i="5"/>
  <c r="J44" i="5"/>
  <c r="K44" i="5"/>
  <c r="L44" i="5"/>
  <c r="M44" i="5"/>
  <c r="N44" i="5"/>
  <c r="O44" i="5"/>
  <c r="P44" i="5"/>
  <c r="Q44" i="5"/>
  <c r="F47" i="5"/>
  <c r="G47" i="5"/>
  <c r="H47" i="5"/>
  <c r="I47" i="5"/>
  <c r="J47" i="5"/>
  <c r="K47" i="5"/>
  <c r="L47" i="5"/>
  <c r="M47" i="5"/>
  <c r="N47" i="5"/>
  <c r="O47" i="5"/>
  <c r="P47" i="5"/>
  <c r="Q47" i="5"/>
  <c r="F48" i="5"/>
  <c r="G48" i="5"/>
  <c r="H48" i="5"/>
  <c r="I48" i="5"/>
  <c r="J48" i="5"/>
  <c r="K48" i="5"/>
  <c r="L48" i="5"/>
  <c r="M48" i="5"/>
  <c r="N48" i="5"/>
  <c r="O48" i="5"/>
  <c r="P48" i="5"/>
  <c r="Q48" i="5"/>
  <c r="F49" i="5"/>
  <c r="G49" i="5"/>
  <c r="H49" i="5"/>
  <c r="I49" i="5"/>
  <c r="J49" i="5"/>
  <c r="K49" i="5"/>
  <c r="L49" i="5"/>
  <c r="M49" i="5"/>
  <c r="N49" i="5"/>
  <c r="O49" i="5"/>
  <c r="P49" i="5"/>
  <c r="Q49" i="5"/>
  <c r="F50" i="5"/>
  <c r="G50" i="5"/>
  <c r="H50" i="5"/>
  <c r="I50" i="5"/>
  <c r="J50" i="5"/>
  <c r="K50" i="5"/>
  <c r="L50" i="5"/>
  <c r="M50" i="5"/>
  <c r="N50" i="5"/>
  <c r="O50" i="5"/>
  <c r="P50" i="5"/>
  <c r="Q50" i="5"/>
  <c r="G42" i="5"/>
  <c r="H42" i="5"/>
  <c r="I42" i="5"/>
  <c r="J42" i="5"/>
  <c r="K42" i="5"/>
  <c r="L42" i="5"/>
  <c r="M42" i="5"/>
  <c r="N42" i="5"/>
  <c r="O42" i="5"/>
  <c r="P42" i="5"/>
  <c r="Q42" i="5"/>
  <c r="F42" i="5"/>
  <c r="F18" i="5"/>
  <c r="G18" i="5"/>
  <c r="H18" i="5"/>
  <c r="I18" i="5"/>
  <c r="J18" i="5"/>
  <c r="K18" i="5"/>
  <c r="L18" i="5"/>
  <c r="M18" i="5"/>
  <c r="N18" i="5"/>
  <c r="O18" i="5"/>
  <c r="P18" i="5"/>
  <c r="Q18" i="5"/>
  <c r="F19" i="5"/>
  <c r="G19" i="5"/>
  <c r="H19" i="5"/>
  <c r="I19" i="5"/>
  <c r="J19" i="5"/>
  <c r="K19" i="5"/>
  <c r="L19" i="5"/>
  <c r="M19" i="5"/>
  <c r="N19" i="5"/>
  <c r="O19" i="5"/>
  <c r="P19" i="5"/>
  <c r="Q19" i="5"/>
  <c r="F20" i="5"/>
  <c r="G20" i="5"/>
  <c r="H20" i="5"/>
  <c r="I20" i="5"/>
  <c r="J20" i="5"/>
  <c r="K20" i="5"/>
  <c r="L20" i="5"/>
  <c r="M20" i="5"/>
  <c r="N20" i="5"/>
  <c r="O20" i="5"/>
  <c r="P20" i="5"/>
  <c r="Q20" i="5"/>
  <c r="G16" i="5"/>
  <c r="H16" i="5"/>
  <c r="I16" i="5"/>
  <c r="J16" i="5"/>
  <c r="K16" i="5"/>
  <c r="L16" i="5"/>
  <c r="M16" i="5"/>
  <c r="N16" i="5"/>
  <c r="O16" i="5"/>
  <c r="P16" i="5"/>
  <c r="Q16" i="5"/>
  <c r="F16" i="5"/>
  <c r="F10" i="5"/>
  <c r="G10" i="5"/>
  <c r="H10" i="5"/>
  <c r="I10" i="5"/>
  <c r="J10" i="5"/>
  <c r="K10" i="5"/>
  <c r="L10" i="5"/>
  <c r="M10" i="5"/>
  <c r="N10" i="5"/>
  <c r="O10" i="5"/>
  <c r="P10" i="5"/>
  <c r="Q10" i="5"/>
  <c r="G6" i="5"/>
  <c r="H6" i="5"/>
  <c r="I6" i="5"/>
  <c r="J6" i="5"/>
  <c r="K6" i="5"/>
  <c r="L6" i="5"/>
  <c r="M6" i="5"/>
  <c r="N6" i="5"/>
  <c r="O6" i="5"/>
  <c r="P6" i="5"/>
  <c r="Q6" i="5"/>
  <c r="F6" i="5"/>
  <c r="G7" i="5"/>
  <c r="H7" i="5"/>
  <c r="I7" i="5"/>
  <c r="J7" i="5"/>
  <c r="K7" i="5"/>
  <c r="L7" i="5"/>
  <c r="M7" i="5"/>
  <c r="N7" i="5"/>
  <c r="O7" i="5"/>
  <c r="P7" i="5"/>
  <c r="Q7" i="5"/>
  <c r="G32" i="3"/>
  <c r="H32" i="3"/>
  <c r="I32" i="3"/>
  <c r="J32" i="3"/>
  <c r="K32" i="3"/>
  <c r="L32" i="3"/>
  <c r="M32" i="3"/>
  <c r="N32" i="3"/>
  <c r="O32" i="3"/>
  <c r="P32" i="3"/>
  <c r="Q32" i="3"/>
  <c r="F32" i="3"/>
  <c r="G31" i="3"/>
  <c r="H31" i="3"/>
  <c r="I31" i="3"/>
  <c r="J31" i="3"/>
  <c r="K31" i="3"/>
  <c r="L31" i="3"/>
  <c r="M31" i="3"/>
  <c r="N31" i="3"/>
  <c r="O31" i="3"/>
  <c r="P31" i="3"/>
  <c r="Q31" i="3"/>
  <c r="F31" i="3"/>
  <c r="G30" i="3"/>
  <c r="H30" i="3"/>
  <c r="I30" i="3"/>
  <c r="J30" i="3"/>
  <c r="K30" i="3"/>
  <c r="L30" i="3"/>
  <c r="M30" i="3"/>
  <c r="N30" i="3"/>
  <c r="O30" i="3"/>
  <c r="P30" i="3"/>
  <c r="Q30" i="3"/>
  <c r="F30" i="3"/>
  <c r="G29" i="3"/>
  <c r="H29" i="3"/>
  <c r="I29" i="3"/>
  <c r="J29" i="3"/>
  <c r="K29" i="3"/>
  <c r="L29" i="3"/>
  <c r="M29" i="3"/>
  <c r="N29" i="3"/>
  <c r="O29" i="3"/>
  <c r="P29" i="3"/>
  <c r="Q29" i="3"/>
  <c r="F29" i="3"/>
  <c r="G28" i="3"/>
  <c r="H28" i="3"/>
  <c r="I28" i="3"/>
  <c r="J28" i="3"/>
  <c r="K28" i="3"/>
  <c r="L28" i="3"/>
  <c r="M28" i="3"/>
  <c r="N28" i="3"/>
  <c r="O28" i="3"/>
  <c r="P28" i="3"/>
  <c r="Q28" i="3"/>
  <c r="F28" i="3"/>
  <c r="G22" i="3"/>
  <c r="H22" i="3"/>
  <c r="H22" i="5" s="1"/>
  <c r="I22" i="3"/>
  <c r="J22" i="3"/>
  <c r="K22" i="3"/>
  <c r="K22" i="5" s="1"/>
  <c r="L22" i="3"/>
  <c r="M22" i="3"/>
  <c r="N22" i="3"/>
  <c r="O22" i="3"/>
  <c r="P22" i="3"/>
  <c r="P22" i="5" s="1"/>
  <c r="Q22" i="3"/>
  <c r="F22" i="3"/>
  <c r="G21" i="3"/>
  <c r="H21" i="3"/>
  <c r="I21" i="3"/>
  <c r="J21" i="3"/>
  <c r="K21" i="3"/>
  <c r="L21" i="3"/>
  <c r="M21" i="3"/>
  <c r="N21" i="3"/>
  <c r="O21" i="3"/>
  <c r="P21" i="3"/>
  <c r="Q21" i="3"/>
  <c r="F21" i="3"/>
  <c r="G17" i="3"/>
  <c r="H17" i="3"/>
  <c r="I17" i="3"/>
  <c r="J17" i="3"/>
  <c r="K17" i="3"/>
  <c r="L17" i="3"/>
  <c r="M17" i="3"/>
  <c r="N17" i="3"/>
  <c r="O17" i="3"/>
  <c r="P17" i="3"/>
  <c r="Q17" i="3"/>
  <c r="F17" i="3"/>
  <c r="R12" i="4" l="1"/>
  <c r="C24" i="5"/>
  <c r="S17" i="3"/>
  <c r="S21" i="3"/>
  <c r="M16" i="13"/>
  <c r="R16" i="13" s="1"/>
  <c r="S52" i="4"/>
  <c r="M16" i="6"/>
  <c r="O52" i="5"/>
  <c r="G52" i="5"/>
  <c r="D24" i="5"/>
  <c r="F52" i="5"/>
  <c r="J52" i="5"/>
  <c r="D34" i="5"/>
  <c r="R29" i="4"/>
  <c r="R31" i="4"/>
  <c r="R28" i="4"/>
  <c r="R30" i="4"/>
  <c r="R32" i="4"/>
  <c r="R29" i="3"/>
  <c r="R31" i="3"/>
  <c r="R32" i="3"/>
  <c r="R30" i="3"/>
  <c r="R28" i="3"/>
  <c r="R21" i="3"/>
  <c r="R17" i="3"/>
  <c r="R12" i="3"/>
  <c r="N52" i="5"/>
  <c r="M52" i="5"/>
  <c r="L52" i="5"/>
  <c r="K52" i="5"/>
  <c r="I52" i="5"/>
  <c r="Q52" i="5"/>
  <c r="P52" i="5"/>
  <c r="H52" i="5"/>
  <c r="D36" i="4"/>
  <c r="D16" i="6" s="1"/>
  <c r="E24" i="5"/>
  <c r="E38" i="4"/>
  <c r="E54" i="4" s="1"/>
  <c r="E18" i="13" s="1"/>
  <c r="E15" i="6"/>
  <c r="E17" i="6" s="1"/>
  <c r="F14" i="6" s="1"/>
  <c r="D15" i="6"/>
  <c r="C52" i="5"/>
  <c r="C36" i="4"/>
  <c r="C38" i="4" s="1"/>
  <c r="C34" i="5"/>
  <c r="E7" i="6"/>
  <c r="E12" i="5"/>
  <c r="E23" i="6" s="1"/>
  <c r="C7" i="6"/>
  <c r="C12" i="5"/>
  <c r="C23" i="6" s="1"/>
  <c r="D7" i="6"/>
  <c r="D12" i="5"/>
  <c r="D23" i="6" s="1"/>
  <c r="L31" i="5"/>
  <c r="M22" i="5"/>
  <c r="C36" i="3"/>
  <c r="D36" i="3"/>
  <c r="D8" i="6" s="1"/>
  <c r="E36" i="3"/>
  <c r="N22" i="5"/>
  <c r="I22" i="5"/>
  <c r="Q22" i="5"/>
  <c r="J22" i="5"/>
  <c r="F22" i="5"/>
  <c r="G22" i="5"/>
  <c r="O22" i="5"/>
  <c r="L22" i="5"/>
  <c r="L21" i="5"/>
  <c r="Q29" i="5"/>
  <c r="M30" i="5"/>
  <c r="Q31" i="5"/>
  <c r="I31" i="5"/>
  <c r="M32" i="5"/>
  <c r="P32" i="5"/>
  <c r="H32" i="5"/>
  <c r="H30" i="5"/>
  <c r="I28" i="5"/>
  <c r="Q28" i="5"/>
  <c r="M29" i="5"/>
  <c r="I30" i="5"/>
  <c r="Q30" i="5"/>
  <c r="M31" i="5"/>
  <c r="I32" i="5"/>
  <c r="Q32" i="5"/>
  <c r="N29" i="5"/>
  <c r="J30" i="5"/>
  <c r="N31" i="5"/>
  <c r="J32" i="5"/>
  <c r="L29" i="5"/>
  <c r="P30" i="5"/>
  <c r="F29" i="5"/>
  <c r="G29" i="5"/>
  <c r="O29" i="5"/>
  <c r="K30" i="5"/>
  <c r="G31" i="5"/>
  <c r="O31" i="5"/>
  <c r="K32" i="5"/>
  <c r="F31" i="5"/>
  <c r="H31" i="5"/>
  <c r="P31" i="5"/>
  <c r="L32" i="5"/>
  <c r="L30" i="5"/>
  <c r="M28" i="5"/>
  <c r="I29" i="5"/>
  <c r="J29" i="5"/>
  <c r="F30" i="5"/>
  <c r="N30" i="5"/>
  <c r="J31" i="5"/>
  <c r="F32" i="5"/>
  <c r="N32" i="5"/>
  <c r="P29" i="5"/>
  <c r="G28" i="5"/>
  <c r="O28" i="5"/>
  <c r="K29" i="5"/>
  <c r="G30" i="5"/>
  <c r="O30" i="5"/>
  <c r="K31" i="5"/>
  <c r="G32" i="5"/>
  <c r="O32" i="5"/>
  <c r="H29" i="5"/>
  <c r="P8" i="5"/>
  <c r="H8" i="5"/>
  <c r="K28" i="5"/>
  <c r="L28" i="5"/>
  <c r="J17" i="5"/>
  <c r="N21" i="5"/>
  <c r="F28" i="5"/>
  <c r="N28" i="5"/>
  <c r="H28" i="5"/>
  <c r="P28" i="5"/>
  <c r="J28" i="5"/>
  <c r="L8" i="5"/>
  <c r="K17" i="5"/>
  <c r="G21" i="5"/>
  <c r="L17" i="5"/>
  <c r="M17" i="5"/>
  <c r="M21" i="5"/>
  <c r="O21" i="5"/>
  <c r="F21" i="5"/>
  <c r="H21" i="5"/>
  <c r="P21" i="5"/>
  <c r="I21" i="5"/>
  <c r="Q21" i="5"/>
  <c r="F17" i="5"/>
  <c r="N17" i="5"/>
  <c r="J21" i="5"/>
  <c r="G17" i="5"/>
  <c r="O17" i="5"/>
  <c r="K21" i="5"/>
  <c r="H17" i="5"/>
  <c r="P17" i="5"/>
  <c r="I17" i="5"/>
  <c r="Q17" i="5"/>
  <c r="F7" i="5"/>
  <c r="F9" i="5"/>
  <c r="N11" i="5"/>
  <c r="L9" i="5"/>
  <c r="N9" i="5"/>
  <c r="G9" i="5"/>
  <c r="O9" i="5"/>
  <c r="K11" i="5"/>
  <c r="Q8" i="5"/>
  <c r="I8" i="5"/>
  <c r="P9" i="5"/>
  <c r="L11" i="5"/>
  <c r="H9" i="5"/>
  <c r="F11" i="5"/>
  <c r="N8" i="5"/>
  <c r="K9" i="5"/>
  <c r="G11" i="5"/>
  <c r="O11" i="5"/>
  <c r="M8" i="5"/>
  <c r="H11" i="5"/>
  <c r="P11" i="5"/>
  <c r="J8" i="5"/>
  <c r="M9" i="5"/>
  <c r="I11" i="5"/>
  <c r="Q11" i="5"/>
  <c r="F8" i="5"/>
  <c r="K8" i="5"/>
  <c r="J11" i="5"/>
  <c r="I9" i="5"/>
  <c r="Q9" i="5"/>
  <c r="M11" i="5"/>
  <c r="O8" i="5"/>
  <c r="G8" i="5"/>
  <c r="J9" i="5"/>
  <c r="J12" i="4"/>
  <c r="N12" i="4"/>
  <c r="N34" i="4"/>
  <c r="G24" i="4"/>
  <c r="O24" i="4"/>
  <c r="K24" i="4"/>
  <c r="L12" i="4"/>
  <c r="H12" i="4"/>
  <c r="L34" i="4"/>
  <c r="H34" i="4"/>
  <c r="P34" i="4"/>
  <c r="M12" i="4"/>
  <c r="I12" i="4"/>
  <c r="S12" i="4" s="1"/>
  <c r="Q34" i="4"/>
  <c r="M34" i="4"/>
  <c r="Q12" i="4"/>
  <c r="I34" i="4"/>
  <c r="P12" i="4"/>
  <c r="J34" i="4"/>
  <c r="F12" i="4"/>
  <c r="F15" i="6" s="1"/>
  <c r="J24" i="4"/>
  <c r="F24" i="4"/>
  <c r="N24" i="4"/>
  <c r="G12" i="4"/>
  <c r="O12" i="4"/>
  <c r="K12" i="4"/>
  <c r="G34" i="4"/>
  <c r="O34" i="4"/>
  <c r="K34" i="4"/>
  <c r="L24" i="4"/>
  <c r="H24" i="4"/>
  <c r="P24" i="4"/>
  <c r="F34" i="4"/>
  <c r="M24" i="4"/>
  <c r="I24" i="4"/>
  <c r="Q24" i="4"/>
  <c r="L34" i="3"/>
  <c r="M34" i="3"/>
  <c r="K34" i="3"/>
  <c r="F34" i="3"/>
  <c r="J34" i="3"/>
  <c r="N34" i="3"/>
  <c r="Q34" i="3"/>
  <c r="I34" i="3"/>
  <c r="P34" i="3"/>
  <c r="H34" i="3"/>
  <c r="O34" i="3"/>
  <c r="G34" i="3"/>
  <c r="P24" i="3"/>
  <c r="O24" i="3"/>
  <c r="F24" i="3"/>
  <c r="Q24" i="3"/>
  <c r="I24" i="3"/>
  <c r="M24" i="3"/>
  <c r="J24" i="3"/>
  <c r="H24" i="3"/>
  <c r="G24" i="3"/>
  <c r="L24" i="3"/>
  <c r="N24" i="3"/>
  <c r="K24" i="3"/>
  <c r="H12" i="3"/>
  <c r="H7" i="6" s="1"/>
  <c r="O12" i="3"/>
  <c r="O7" i="6" s="1"/>
  <c r="G12" i="3"/>
  <c r="G7" i="6" s="1"/>
  <c r="P12" i="3"/>
  <c r="P7" i="6" s="1"/>
  <c r="N12" i="3"/>
  <c r="N7" i="6" s="1"/>
  <c r="M12" i="3"/>
  <c r="M7" i="6" s="1"/>
  <c r="L12" i="3"/>
  <c r="L7" i="6" s="1"/>
  <c r="K12" i="3"/>
  <c r="K7" i="6" s="1"/>
  <c r="J12" i="3"/>
  <c r="J7" i="6" s="1"/>
  <c r="Q12" i="3"/>
  <c r="Q7" i="6" s="1"/>
  <c r="I12" i="3"/>
  <c r="I7" i="6" s="1"/>
  <c r="F12" i="3"/>
  <c r="S34" i="3" l="1"/>
  <c r="S34" i="4"/>
  <c r="S24" i="3"/>
  <c r="C8" i="6"/>
  <c r="C9" i="6" s="1"/>
  <c r="S12" i="3"/>
  <c r="I36" i="4"/>
  <c r="I38" i="4" s="1"/>
  <c r="R34" i="4"/>
  <c r="R36" i="4" s="1"/>
  <c r="R38" i="4" s="1"/>
  <c r="R54" i="4" s="1"/>
  <c r="R24" i="3"/>
  <c r="R34" i="3"/>
  <c r="E36" i="5"/>
  <c r="E8" i="6"/>
  <c r="Q36" i="4"/>
  <c r="Q38" i="4" s="1"/>
  <c r="Q54" i="4" s="1"/>
  <c r="Q18" i="13" s="1"/>
  <c r="D17" i="6"/>
  <c r="E14" i="6" s="1"/>
  <c r="D38" i="4"/>
  <c r="D54" i="4" s="1"/>
  <c r="D18" i="13" s="1"/>
  <c r="H36" i="4"/>
  <c r="H38" i="4" s="1"/>
  <c r="H54" i="4" s="1"/>
  <c r="H18" i="13" s="1"/>
  <c r="D36" i="5"/>
  <c r="C16" i="6"/>
  <c r="C17" i="6" s="1"/>
  <c r="D14" i="6" s="1"/>
  <c r="C36" i="5"/>
  <c r="C54" i="4"/>
  <c r="C18" i="13" s="1"/>
  <c r="E38" i="3"/>
  <c r="D38" i="3"/>
  <c r="C38" i="3"/>
  <c r="O36" i="4"/>
  <c r="O38" i="4" s="1"/>
  <c r="O54" i="4" s="1"/>
  <c r="O18" i="13" s="1"/>
  <c r="M36" i="4"/>
  <c r="M38" i="4" s="1"/>
  <c r="M54" i="4" s="1"/>
  <c r="M18" i="13" s="1"/>
  <c r="J36" i="4"/>
  <c r="J38" i="4" s="1"/>
  <c r="J54" i="4" s="1"/>
  <c r="J18" i="13" s="1"/>
  <c r="I15" i="6"/>
  <c r="M15" i="6"/>
  <c r="G36" i="4"/>
  <c r="G38" i="4" s="1"/>
  <c r="G54" i="4" s="1"/>
  <c r="G18" i="13" s="1"/>
  <c r="K15" i="6"/>
  <c r="P15" i="6"/>
  <c r="N15" i="6"/>
  <c r="O15" i="6"/>
  <c r="J15" i="6"/>
  <c r="P36" i="4"/>
  <c r="P38" i="4" s="1"/>
  <c r="P54" i="4" s="1"/>
  <c r="P18" i="13" s="1"/>
  <c r="G15" i="6"/>
  <c r="Q15" i="6"/>
  <c r="H15" i="6"/>
  <c r="N36" i="4"/>
  <c r="N38" i="4" s="1"/>
  <c r="N54" i="4" s="1"/>
  <c r="N18" i="13" s="1"/>
  <c r="L15" i="6"/>
  <c r="L36" i="4"/>
  <c r="L38" i="4" s="1"/>
  <c r="L54" i="4" s="1"/>
  <c r="L18" i="13" s="1"/>
  <c r="F36" i="4"/>
  <c r="F17" i="6" s="1"/>
  <c r="K36" i="4"/>
  <c r="K38" i="4" s="1"/>
  <c r="K54" i="4" s="1"/>
  <c r="K18" i="13" s="1"/>
  <c r="F12" i="5"/>
  <c r="F23" i="6" s="1"/>
  <c r="F7" i="6"/>
  <c r="N34" i="5"/>
  <c r="P34" i="5"/>
  <c r="J34" i="5"/>
  <c r="M34" i="5"/>
  <c r="Q34" i="5"/>
  <c r="K34" i="5"/>
  <c r="O34" i="5"/>
  <c r="G34" i="5"/>
  <c r="H34" i="5"/>
  <c r="F34" i="5"/>
  <c r="I34" i="5"/>
  <c r="L34" i="5"/>
  <c r="P24" i="5"/>
  <c r="O24" i="5"/>
  <c r="M24" i="5"/>
  <c r="H24" i="5"/>
  <c r="J24" i="5"/>
  <c r="Q24" i="5"/>
  <c r="G24" i="5"/>
  <c r="I24" i="5"/>
  <c r="N24" i="5"/>
  <c r="L24" i="5"/>
  <c r="F24" i="5"/>
  <c r="K24" i="5"/>
  <c r="K12" i="5"/>
  <c r="K23" i="6" s="1"/>
  <c r="P12" i="5"/>
  <c r="P23" i="6" s="1"/>
  <c r="O12" i="5"/>
  <c r="O23" i="6" s="1"/>
  <c r="Q12" i="5"/>
  <c r="Q23" i="6" s="1"/>
  <c r="H12" i="5"/>
  <c r="H23" i="6" s="1"/>
  <c r="L12" i="5"/>
  <c r="L23" i="6" s="1"/>
  <c r="G12" i="5"/>
  <c r="G23" i="6" s="1"/>
  <c r="N12" i="5"/>
  <c r="N23" i="6" s="1"/>
  <c r="J12" i="5"/>
  <c r="J23" i="6" s="1"/>
  <c r="I12" i="5"/>
  <c r="I23" i="6" s="1"/>
  <c r="M12" i="5"/>
  <c r="M23" i="6" s="1"/>
  <c r="K36" i="3"/>
  <c r="K8" i="6" s="1"/>
  <c r="F36" i="3"/>
  <c r="F8" i="6" s="1"/>
  <c r="O36" i="3"/>
  <c r="O8" i="6" s="1"/>
  <c r="G36" i="3"/>
  <c r="G8" i="6" s="1"/>
  <c r="Q36" i="3"/>
  <c r="Q8" i="6" s="1"/>
  <c r="N36" i="3"/>
  <c r="N8" i="6" s="1"/>
  <c r="P36" i="3"/>
  <c r="P8" i="6" s="1"/>
  <c r="H36" i="3"/>
  <c r="H8" i="6" s="1"/>
  <c r="L36" i="3"/>
  <c r="L8" i="6" s="1"/>
  <c r="J36" i="3"/>
  <c r="J8" i="6" s="1"/>
  <c r="M36" i="3"/>
  <c r="M8" i="6" s="1"/>
  <c r="I36" i="3"/>
  <c r="I8" i="6" s="1"/>
  <c r="S36" i="4" l="1"/>
  <c r="I16" i="6"/>
  <c r="S36" i="3"/>
  <c r="I54" i="4"/>
  <c r="S38" i="4"/>
  <c r="R36" i="3"/>
  <c r="R38" i="3" s="1"/>
  <c r="R54" i="3" s="1"/>
  <c r="C38" i="5"/>
  <c r="C54" i="3"/>
  <c r="E54" i="3"/>
  <c r="E54" i="5" s="1"/>
  <c r="E24" i="6" s="1"/>
  <c r="E25" i="6" s="1"/>
  <c r="E38" i="5"/>
  <c r="D54" i="3"/>
  <c r="D54" i="5" s="1"/>
  <c r="D24" i="6" s="1"/>
  <c r="D25" i="6" s="1"/>
  <c r="D38" i="5"/>
  <c r="D6" i="6"/>
  <c r="D9" i="6" s="1"/>
  <c r="F38" i="4"/>
  <c r="F54" i="4" s="1"/>
  <c r="F18" i="13" s="1"/>
  <c r="L38" i="3"/>
  <c r="L54" i="3" s="1"/>
  <c r="K38" i="3"/>
  <c r="K54" i="3" s="1"/>
  <c r="H38" i="3"/>
  <c r="H54" i="3" s="1"/>
  <c r="J38" i="3"/>
  <c r="J54" i="3" s="1"/>
  <c r="Q38" i="3"/>
  <c r="Q54" i="3" s="1"/>
  <c r="P38" i="3"/>
  <c r="P54" i="3" s="1"/>
  <c r="N38" i="3"/>
  <c r="N54" i="3" s="1"/>
  <c r="I38" i="3"/>
  <c r="I54" i="3" s="1"/>
  <c r="G38" i="3"/>
  <c r="G54" i="3" s="1"/>
  <c r="M38" i="3"/>
  <c r="M54" i="3" s="1"/>
  <c r="O38" i="3"/>
  <c r="O54" i="3" s="1"/>
  <c r="F38" i="3"/>
  <c r="F54" i="3" s="1"/>
  <c r="Q36" i="5"/>
  <c r="G36" i="5"/>
  <c r="N36" i="5"/>
  <c r="O36" i="5"/>
  <c r="L36" i="5"/>
  <c r="I36" i="5"/>
  <c r="P36" i="5"/>
  <c r="F36" i="5"/>
  <c r="K36" i="5"/>
  <c r="J36" i="5"/>
  <c r="H36" i="5"/>
  <c r="M36" i="5"/>
  <c r="C54" i="5" l="1"/>
  <c r="C24" i="6" s="1"/>
  <c r="C25" i="6" s="1"/>
  <c r="S54" i="3"/>
  <c r="S38" i="3"/>
  <c r="I18" i="13"/>
  <c r="R18" i="13" s="1"/>
  <c r="S54" i="4"/>
  <c r="E6" i="6"/>
  <c r="E9" i="6" s="1"/>
  <c r="F6" i="6" s="1"/>
  <c r="O54" i="5"/>
  <c r="O38" i="5"/>
  <c r="H54" i="5"/>
  <c r="H38" i="5"/>
  <c r="P54" i="5"/>
  <c r="P38" i="5"/>
  <c r="N54" i="5"/>
  <c r="N38" i="5"/>
  <c r="F38" i="5"/>
  <c r="J54" i="5"/>
  <c r="J38" i="5"/>
  <c r="I54" i="5"/>
  <c r="I38" i="5"/>
  <c r="G54" i="5"/>
  <c r="G38" i="5"/>
  <c r="M54" i="5"/>
  <c r="M38" i="5"/>
  <c r="K54" i="5"/>
  <c r="K38" i="5"/>
  <c r="L54" i="5"/>
  <c r="L38" i="5"/>
  <c r="Q54" i="5"/>
  <c r="Q38" i="5"/>
  <c r="F54" i="5" l="1"/>
  <c r="H17" i="6" l="1"/>
  <c r="I14" i="6" s="1"/>
  <c r="N17" i="6"/>
  <c r="O14" i="6" s="1"/>
  <c r="O17" i="6"/>
  <c r="P14" i="6" s="1"/>
  <c r="I17" i="6"/>
  <c r="J14" i="6" s="1"/>
  <c r="M17" i="6"/>
  <c r="N14" i="6" s="1"/>
  <c r="P17" i="6"/>
  <c r="Q14" i="6" s="1"/>
  <c r="J17" i="6"/>
  <c r="K14" i="6" s="1"/>
  <c r="L17" i="6"/>
  <c r="M14" i="6" s="1"/>
  <c r="G14" i="6"/>
  <c r="Q17" i="6"/>
  <c r="K17" i="6"/>
  <c r="L14" i="6" s="1"/>
  <c r="L24" i="6"/>
  <c r="L25" i="6" s="1"/>
  <c r="M22" i="6" s="1"/>
  <c r="N24" i="6"/>
  <c r="N25" i="6" s="1"/>
  <c r="O22" i="6" s="1"/>
  <c r="H24" i="6"/>
  <c r="H25" i="6" s="1"/>
  <c r="I22" i="6" s="1"/>
  <c r="G24" i="6"/>
  <c r="G25" i="6" s="1"/>
  <c r="H22" i="6" s="1"/>
  <c r="O24" i="6"/>
  <c r="O25" i="6" s="1"/>
  <c r="P22" i="6" s="1"/>
  <c r="J24" i="6"/>
  <c r="J25" i="6" s="1"/>
  <c r="K22" i="6" s="1"/>
  <c r="Q24" i="6"/>
  <c r="Q25" i="6" s="1"/>
  <c r="K24" i="6"/>
  <c r="K25" i="6" s="1"/>
  <c r="L22" i="6" s="1"/>
  <c r="P24" i="6"/>
  <c r="P25" i="6" s="1"/>
  <c r="Q22" i="6" s="1"/>
  <c r="M24" i="6"/>
  <c r="M25" i="6" s="1"/>
  <c r="N22" i="6" s="1"/>
  <c r="I24" i="6"/>
  <c r="I25" i="6" s="1"/>
  <c r="J22" i="6" s="1"/>
  <c r="F24" i="6"/>
  <c r="F25" i="6" s="1"/>
  <c r="G22" i="6" s="1"/>
  <c r="G17" i="6" l="1"/>
  <c r="H14" i="6" s="1"/>
  <c r="F9" i="6"/>
  <c r="G6" i="6" s="1"/>
  <c r="G9" i="6" s="1"/>
  <c r="H6" i="6" l="1"/>
  <c r="H9" i="6" s="1"/>
  <c r="I6" i="6" s="1"/>
  <c r="I9" i="6" s="1"/>
  <c r="J6" i="6" s="1"/>
  <c r="J9" i="6" s="1"/>
  <c r="K6" i="6" s="1"/>
  <c r="K9" i="6" s="1"/>
  <c r="L6" i="6" s="1"/>
  <c r="L9" i="6" s="1"/>
  <c r="M6" i="6" s="1"/>
  <c r="M9" i="6" s="1"/>
  <c r="N6" i="6" s="1"/>
  <c r="N9" i="6" s="1"/>
  <c r="O6" i="6" s="1"/>
  <c r="O9" i="6" s="1"/>
  <c r="P6" i="6" s="1"/>
  <c r="P9" i="6" s="1"/>
  <c r="Q6" i="6" s="1"/>
  <c r="Q9" i="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256F795-1D4E-4544-8FE0-2407B619A27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BE4D28C-3419-4881-97B4-ACCF5EE16ACC}" name="WorksheetConnection_Cashflows!$B$4:$N$25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CashflowsB4N251"/>
        </x15:connection>
      </ext>
    </extLst>
  </connection>
  <connection id="3" xr16:uid="{99D64AD8-76FF-494B-9665-D3861F5A41AC}" name="WorksheetConnection_Personal Financial Planner.xlsx!Actual" type="102" refreshedVersion="8" minRefreshableVersion="5">
    <extLst>
      <ext xmlns:x15="http://schemas.microsoft.com/office/spreadsheetml/2010/11/main" uri="{DE250136-89BD-433C-8126-D09CA5730AF9}">
        <x15:connection id="Actual">
          <x15:rangePr sourceName="_xlcn.WorksheetConnection_PersonalFinancialPlanner.xlsxActual1"/>
        </x15:connection>
      </ext>
    </extLst>
  </connection>
  <connection id="4" xr16:uid="{C375C721-3AC8-4557-B188-1906B53B2706}" name="WorksheetConnection_Personal Financial Planner.xlsx!Budget" type="102" refreshedVersion="8" minRefreshableVersion="5">
    <extLst>
      <ext xmlns:x15="http://schemas.microsoft.com/office/spreadsheetml/2010/11/main" uri="{DE250136-89BD-433C-8126-D09CA5730AF9}">
        <x15:connection id="Budget">
          <x15:rangePr sourceName="_xlcn.WorksheetConnection_PersonalFinancialPlanner.xlsxBudget1"/>
        </x15:connection>
      </ext>
    </extLst>
  </connection>
</connections>
</file>

<file path=xl/sharedStrings.xml><?xml version="1.0" encoding="utf-8"?>
<sst xmlns="http://schemas.openxmlformats.org/spreadsheetml/2006/main" count="502" uniqueCount="258">
  <si>
    <t>Salary</t>
  </si>
  <si>
    <t>Rent</t>
  </si>
  <si>
    <t>Total Income</t>
  </si>
  <si>
    <t>Income</t>
  </si>
  <si>
    <t>Freelance</t>
  </si>
  <si>
    <t>Fees For Contenet Design</t>
  </si>
  <si>
    <t>Fess for Blogging</t>
  </si>
  <si>
    <t>YouTube Videos/ Vlogging</t>
  </si>
  <si>
    <t>Fees for Seminar/ Webinars</t>
  </si>
  <si>
    <t>Business</t>
  </si>
  <si>
    <t>TW/4W rental at Lonavala</t>
  </si>
  <si>
    <t>Income from Staycation</t>
  </si>
  <si>
    <t>Agri and Farm Income</t>
  </si>
  <si>
    <t>AB Consultants Pvt Ltd</t>
  </si>
  <si>
    <t>Dividend</t>
  </si>
  <si>
    <t>Dividend from Shares</t>
  </si>
  <si>
    <t>Dividend from MF</t>
  </si>
  <si>
    <t>Rental</t>
  </si>
  <si>
    <t>Other Income</t>
  </si>
  <si>
    <t>Interest on RD/FD/Investments</t>
  </si>
  <si>
    <t>CF from sale of Investments</t>
  </si>
  <si>
    <t xml:space="preserve"> </t>
  </si>
  <si>
    <t>Fixed Expenses</t>
  </si>
  <si>
    <t>Monthly Rent of Home</t>
  </si>
  <si>
    <t>Monthly Rent of Office Space</t>
  </si>
  <si>
    <t>Monthly Rent of Studio/ Setup</t>
  </si>
  <si>
    <t>Utilities</t>
  </si>
  <si>
    <t>Electricity Bill- Home</t>
  </si>
  <si>
    <t>Electricity Bill- Office</t>
  </si>
  <si>
    <t>Maintenance of Housing Society</t>
  </si>
  <si>
    <t>Maintenance Charges- office</t>
  </si>
  <si>
    <t>Wifi</t>
  </si>
  <si>
    <t>Insurance</t>
  </si>
  <si>
    <t>TW insurance</t>
  </si>
  <si>
    <t>Car Insurance</t>
  </si>
  <si>
    <t>Term Life</t>
  </si>
  <si>
    <t>Endowment Plan</t>
  </si>
  <si>
    <t>Unit Linked</t>
  </si>
  <si>
    <t>Health Insurance</t>
  </si>
  <si>
    <t>Others</t>
  </si>
  <si>
    <t>EMIs</t>
  </si>
  <si>
    <t>Car EMI</t>
  </si>
  <si>
    <t>PL EMI</t>
  </si>
  <si>
    <t>Home EMI</t>
  </si>
  <si>
    <t>Iphone EMI</t>
  </si>
  <si>
    <t>EMI -other gadgets</t>
  </si>
  <si>
    <t>Subscriptions</t>
  </si>
  <si>
    <t>Software and AI tools</t>
  </si>
  <si>
    <t>Newspaper/Magzine</t>
  </si>
  <si>
    <t>Professional Associations</t>
  </si>
  <si>
    <t>Charity</t>
  </si>
  <si>
    <t>Contribution to NGO (Tax Deduction)</t>
  </si>
  <si>
    <t>Contribution to NGO (No Tax Deduction)</t>
  </si>
  <si>
    <t>Other Fixed</t>
  </si>
  <si>
    <t>Family Expenses</t>
  </si>
  <si>
    <t>Variable Expenses</t>
  </si>
  <si>
    <t>Food &amp; Beverages</t>
  </si>
  <si>
    <t>Mess/Tiffin Charges</t>
  </si>
  <si>
    <t>Restauraunt / Food Order</t>
  </si>
  <si>
    <t>F&amp;B Adhoc</t>
  </si>
  <si>
    <t xml:space="preserve"> Transport</t>
  </si>
  <si>
    <t>Fuel</t>
  </si>
  <si>
    <t>Vehicle Serviceing</t>
  </si>
  <si>
    <t xml:space="preserve">Cab </t>
  </si>
  <si>
    <t>Flight/ Train</t>
  </si>
  <si>
    <t xml:space="preserve"> Entertainment</t>
  </si>
  <si>
    <t>Movies/Plays &amp; other entertainment exp</t>
  </si>
  <si>
    <t xml:space="preserve"> Medical</t>
  </si>
  <si>
    <t>Doctor's Fees</t>
  </si>
  <si>
    <t>Medicine exps</t>
  </si>
  <si>
    <t>Misc- not claimed in Insurance</t>
  </si>
  <si>
    <t xml:space="preserve"> Misc</t>
  </si>
  <si>
    <t>Gifts</t>
  </si>
  <si>
    <t>others</t>
  </si>
  <si>
    <t>Investments</t>
  </si>
  <si>
    <t>SIPs</t>
  </si>
  <si>
    <t>RDs</t>
  </si>
  <si>
    <t xml:space="preserve">RD for Planned Short Term exps </t>
  </si>
  <si>
    <t>FDs</t>
  </si>
  <si>
    <t>FD for Planned ST exp/Investments</t>
  </si>
  <si>
    <t xml:space="preserve">Emergency Fund </t>
  </si>
  <si>
    <t>Savings Account</t>
  </si>
  <si>
    <t>Equities</t>
  </si>
  <si>
    <t>Trading Account Margin</t>
  </si>
  <si>
    <t xml:space="preserve">Bonds </t>
  </si>
  <si>
    <t>G Sec</t>
  </si>
  <si>
    <t>Corporate Bonds</t>
  </si>
  <si>
    <t>Metals</t>
  </si>
  <si>
    <t>Gold Physical- Invest</t>
  </si>
  <si>
    <t>Gold Physical- Jwellery</t>
  </si>
  <si>
    <t>Gold- ETF</t>
  </si>
  <si>
    <t>SGB</t>
  </si>
  <si>
    <t>Real Estate</t>
  </si>
  <si>
    <t>Farm Land</t>
  </si>
  <si>
    <t>Commercial Shop</t>
  </si>
  <si>
    <t>Office Space</t>
  </si>
  <si>
    <t>Residential Aprtment</t>
  </si>
  <si>
    <t>Misce Income</t>
  </si>
  <si>
    <t>Rental income</t>
  </si>
  <si>
    <t>Interest on Saving Bank acount</t>
  </si>
  <si>
    <t>Income1</t>
  </si>
  <si>
    <t>Income2</t>
  </si>
  <si>
    <t>Income3</t>
  </si>
  <si>
    <t>Income4</t>
  </si>
  <si>
    <t>Income from Salary</t>
  </si>
  <si>
    <t>Rent from Comercial prop</t>
  </si>
  <si>
    <t>FExp1</t>
  </si>
  <si>
    <t>FExp2</t>
  </si>
  <si>
    <t>FExp3</t>
  </si>
  <si>
    <t>FExp4</t>
  </si>
  <si>
    <t>FExp5</t>
  </si>
  <si>
    <t>FExp6</t>
  </si>
  <si>
    <t>FExp7</t>
  </si>
  <si>
    <t>VExp1</t>
  </si>
  <si>
    <t>VExp2</t>
  </si>
  <si>
    <t>VExp3</t>
  </si>
  <si>
    <t>VExp4</t>
  </si>
  <si>
    <t>Inv1</t>
  </si>
  <si>
    <t>Inv2</t>
  </si>
  <si>
    <t>Inv3</t>
  </si>
  <si>
    <t>Inv4</t>
  </si>
  <si>
    <t>SIP1 - Flexi Cap Speciality fund</t>
  </si>
  <si>
    <t>SIP2 - Marge Cap Fund</t>
  </si>
  <si>
    <t>SIP3 - Mid and Small Cap</t>
  </si>
  <si>
    <t>SIP4 - Liquid Fund</t>
  </si>
  <si>
    <t>Personal Portfolio</t>
  </si>
  <si>
    <t>Income Sources</t>
  </si>
  <si>
    <t>Total Fixed Expenses</t>
  </si>
  <si>
    <t>Transport</t>
  </si>
  <si>
    <t>Entertainment</t>
  </si>
  <si>
    <t>Medical</t>
  </si>
  <si>
    <t>Misc</t>
  </si>
  <si>
    <t>Total Variable Expenses</t>
  </si>
  <si>
    <t>Total Invesments</t>
  </si>
  <si>
    <t>A</t>
  </si>
  <si>
    <t>B</t>
  </si>
  <si>
    <t>C</t>
  </si>
  <si>
    <t>D</t>
  </si>
  <si>
    <t>E</t>
  </si>
  <si>
    <t>F</t>
  </si>
  <si>
    <t>#</t>
  </si>
  <si>
    <t>Investible Surplus (A-D)</t>
  </si>
  <si>
    <t>Grand Total Expenses (B+C)</t>
  </si>
  <si>
    <t>BUDGETED INCOME, EXPENSE &amp; INVESTMENT STATEMENT</t>
  </si>
  <si>
    <t>Jan-26</t>
  </si>
  <si>
    <t>Feb-26</t>
  </si>
  <si>
    <t>Mar-26</t>
  </si>
  <si>
    <t>Apr-26</t>
  </si>
  <si>
    <t>May-26</t>
  </si>
  <si>
    <t>Jun-26</t>
  </si>
  <si>
    <t>Jul-26</t>
  </si>
  <si>
    <t>Aug-26</t>
  </si>
  <si>
    <t>Sep-26</t>
  </si>
  <si>
    <t>Oct-26</t>
  </si>
  <si>
    <t>Nov-26</t>
  </si>
  <si>
    <t>Dec-26</t>
  </si>
  <si>
    <t>ACTUAL INCOME, EXPENSE &amp; INVESTMENT STATEMENT</t>
  </si>
  <si>
    <t>Surplus in Cash</t>
  </si>
  <si>
    <t>VARIANCE</t>
  </si>
  <si>
    <t>Budgeted Cashflows</t>
  </si>
  <si>
    <t>Actual Cashflows</t>
  </si>
  <si>
    <t>Variance Cashflows</t>
  </si>
  <si>
    <t>Opening Balance - B</t>
  </si>
  <si>
    <t>Inflows - B</t>
  </si>
  <si>
    <t>Outflows - B</t>
  </si>
  <si>
    <t>Closing Balance - B</t>
  </si>
  <si>
    <t>Opening Balance - A</t>
  </si>
  <si>
    <t>Inflows - A</t>
  </si>
  <si>
    <t>Outflows - A</t>
  </si>
  <si>
    <t>Closing Balance - A</t>
  </si>
  <si>
    <t>Opening Balance - V</t>
  </si>
  <si>
    <t>Inflows - V</t>
  </si>
  <si>
    <t>Outflows - V</t>
  </si>
  <si>
    <t>Closing Balance - V</t>
  </si>
  <si>
    <t>PERSONAL FINANCIAL PLANNER INPUTS</t>
  </si>
  <si>
    <t>CASHFLOWS</t>
  </si>
  <si>
    <t>Average - A</t>
  </si>
  <si>
    <t>Average - B</t>
  </si>
  <si>
    <t>Actual Vs Budgeted</t>
  </si>
  <si>
    <t>Freelancing</t>
  </si>
  <si>
    <t>G</t>
  </si>
  <si>
    <t>Oct-25</t>
  </si>
  <si>
    <t>Nov-25</t>
  </si>
  <si>
    <t>Dec-25</t>
  </si>
  <si>
    <t>*Note:</t>
  </si>
  <si>
    <t>To run the VBA macro in your Excel for someone with no prior experience, follow these simple step-by-step instructions:</t>
  </si>
  <si>
    <t>When you open the Excel file, a security warning may appear near the top stating "Macros have been disabled."</t>
  </si>
  <si>
    <t>The form will appear, allowing you to:</t>
  </si>
  <si>
    <t>Select the desired month from the dropdown.</t>
  </si>
  <si>
    <t>Choose the main category (Income, Expenses, Investments).</t>
  </si>
  <si>
    <t>Choose the specific subcategory based on your main category.</t>
  </si>
  <si>
    <t>Repeat the selection and data entry as needed.</t>
  </si>
  <si>
    <t>The form will automatically update your data in the Excel sheet for each entry.</t>
  </si>
  <si>
    <t>Extra Tips:</t>
  </si>
  <si>
    <r>
      <t>Click on the </t>
    </r>
    <r>
      <rPr>
        <b/>
        <sz val="12"/>
        <color theme="1"/>
        <rFont val="Calibri"/>
        <family val="2"/>
        <scheme val="minor"/>
      </rPr>
      <t>"Enable Content"</t>
    </r>
    <r>
      <rPr>
        <sz val="12"/>
        <color theme="1"/>
        <rFont val="Calibri"/>
        <family val="2"/>
        <scheme val="minor"/>
      </rPr>
      <t> button to allow macros for this file.</t>
    </r>
  </si>
  <si>
    <r>
      <t>Click </t>
    </r>
    <r>
      <rPr>
        <b/>
        <sz val="12"/>
        <color theme="1"/>
        <rFont val="Calibri"/>
        <family val="2"/>
        <scheme val="minor"/>
      </rPr>
      <t>"Run"</t>
    </r>
    <r>
      <rPr>
        <sz val="12"/>
        <color theme="1"/>
        <rFont val="Calibri"/>
        <family val="2"/>
        <scheme val="minor"/>
      </rPr>
      <t>.</t>
    </r>
  </si>
  <si>
    <r>
      <t>Click </t>
    </r>
    <r>
      <rPr>
        <b/>
        <sz val="12"/>
        <color theme="1"/>
        <rFont val="Calibri"/>
        <family val="2"/>
        <scheme val="minor"/>
      </rPr>
      <t>"Submit"</t>
    </r>
    <r>
      <rPr>
        <sz val="12"/>
        <color theme="1"/>
        <rFont val="Calibri"/>
        <family val="2"/>
        <scheme val="minor"/>
      </rPr>
      <t> to save the data or </t>
    </r>
    <r>
      <rPr>
        <b/>
        <sz val="12"/>
        <color theme="1"/>
        <rFont val="Calibri"/>
        <family val="2"/>
        <scheme val="minor"/>
      </rPr>
      <t>"Close"</t>
    </r>
    <r>
      <rPr>
        <sz val="12"/>
        <color theme="1"/>
        <rFont val="Calibri"/>
        <family val="2"/>
        <scheme val="minor"/>
      </rPr>
      <t> to exit.</t>
    </r>
  </si>
  <si>
    <r>
      <t>To stop using the form, click the </t>
    </r>
    <r>
      <rPr>
        <b/>
        <sz val="12"/>
        <color theme="1"/>
        <rFont val="Calibri"/>
        <family val="2"/>
        <scheme val="minor"/>
      </rPr>
      <t>"Close"</t>
    </r>
    <r>
      <rPr>
        <sz val="12"/>
        <color theme="1"/>
        <rFont val="Calibri"/>
        <family val="2"/>
        <scheme val="minor"/>
      </rPr>
      <t> button or just close the window.</t>
    </r>
  </si>
  <si>
    <r>
      <t>Always Save</t>
    </r>
    <r>
      <rPr>
        <sz val="12"/>
        <color theme="1"/>
        <rFont val="Calibri"/>
        <family val="2"/>
        <scheme val="minor"/>
      </rPr>
      <t> your Excel file after entering data to keep changes.</t>
    </r>
  </si>
  <si>
    <t>1. Enable Macros</t>
  </si>
  <si>
    <t>2. Run the UserForm Macro</t>
  </si>
  <si>
    <t>3. Using the Personal Finance UserForm</t>
  </si>
  <si>
    <t>4. Entering Data</t>
  </si>
  <si>
    <t>5. Closing the Form</t>
  </si>
  <si>
    <t>Instruction to Run Macro</t>
  </si>
  <si>
    <t xml:space="preserve">*NOTE: Macro is only applicable for Actual Data sheet and NOT for Budgeted Data Sheet </t>
  </si>
  <si>
    <t>4. For Income, Actual&gt;Budget is positive surprise.</t>
  </si>
  <si>
    <t>1. Variance = Actual() - Budget()</t>
  </si>
  <si>
    <t>2. Positive values indicate that actual &gt;Budgeted.</t>
  </si>
  <si>
    <t>3. Negative values indicate that Budgeted&gt;Actual.</t>
  </si>
  <si>
    <t>5. For Expenses, Actual&gt;Budget is Negative surprise.</t>
  </si>
  <si>
    <t>6. For Investments, Actual&gt;Budget is Good thing for future.</t>
  </si>
  <si>
    <t>Months/Income Sources</t>
  </si>
  <si>
    <t>Total Investments/Savings</t>
  </si>
  <si>
    <t>Total Investments</t>
  </si>
  <si>
    <t>Investments - A</t>
  </si>
  <si>
    <t>Actual Total Investments</t>
  </si>
  <si>
    <t>Investments - B</t>
  </si>
  <si>
    <t>Total - A</t>
  </si>
  <si>
    <t>b</t>
  </si>
  <si>
    <t>Instructions</t>
  </si>
  <si>
    <t>Dashboard</t>
  </si>
  <si>
    <t>Cashflows</t>
  </si>
  <si>
    <t>Input</t>
  </si>
  <si>
    <r>
      <t>In the Macro dialog, select </t>
    </r>
    <r>
      <rPr>
        <b/>
        <sz val="12"/>
        <color theme="1"/>
        <rFont val="Calibri"/>
        <family val="2"/>
        <scheme val="minor"/>
      </rPr>
      <t>"ShowFinanceForm"</t>
    </r>
    <r>
      <rPr>
        <sz val="12"/>
        <color theme="1"/>
        <rFont val="Calibri"/>
        <family val="2"/>
        <scheme val="minor"/>
      </rPr>
      <t xml:space="preserve">. OR You can directly click on </t>
    </r>
    <r>
      <rPr>
        <b/>
        <sz val="12"/>
        <color theme="1"/>
        <rFont val="Calibri"/>
        <family val="2"/>
        <scheme val="minor"/>
      </rPr>
      <t>"START MACRO"</t>
    </r>
    <r>
      <rPr>
        <sz val="12"/>
        <color theme="1"/>
        <rFont val="Calibri"/>
        <family val="2"/>
        <scheme val="minor"/>
      </rPr>
      <t xml:space="preserve"> in this sheet and start entering the data. </t>
    </r>
    <r>
      <rPr>
        <b/>
        <sz val="12"/>
        <color theme="1"/>
        <rFont val="Calibri"/>
        <family val="2"/>
        <scheme val="minor"/>
      </rPr>
      <t>{ Steps Alt + W + M +V }</t>
    </r>
  </si>
  <si>
    <t>*DATA</t>
  </si>
  <si>
    <t>Sr. No.</t>
  </si>
  <si>
    <t>Sheet Name</t>
  </si>
  <si>
    <t>Information</t>
  </si>
  <si>
    <t>This sheet explains how to run the macro.</t>
  </si>
  <si>
    <t>This sheet provides all the analysis in graphical form.</t>
  </si>
  <si>
    <t>All the cashflows are analyzed in this sheet.</t>
  </si>
  <si>
    <t>All the investments up to the latest entry are analyzed here.</t>
  </si>
  <si>
    <t>This sheet contains different subcategories under the main categories.</t>
  </si>
  <si>
    <t>Excel Sheet Structure &amp; Macro Dependency</t>
  </si>
  <si>
    <t xml:space="preserve">Variance is calculated using the formula (Actual - Budget). This sheet explains the deviation of actual income, expenses and </t>
  </si>
  <si>
    <t>investments from the targeted budgeted figures.</t>
  </si>
  <si>
    <t>This is the most crucial sheet for running the macro. Any changes to this sheet may lead to macro failure.</t>
  </si>
  <si>
    <t>-</t>
  </si>
  <si>
    <t>5. Previous Value</t>
  </si>
  <si>
    <t>This feature will show you the previous value and you can add or substract previous value through "Enter Value" feature.</t>
  </si>
  <si>
    <t>DASHBOARD</t>
  </si>
  <si>
    <t>Actual - "A"</t>
  </si>
  <si>
    <t>Budget - "B"</t>
  </si>
  <si>
    <t>Variance (Actual - Budgeted)</t>
  </si>
  <si>
    <t>If you enter data for the same category and month again, it will ADD OR SUBSTRACT the old value as per number sign.</t>
  </si>
  <si>
    <t>If one has to reduce previous value enter (-) sign before the number and it will update accordingly.</t>
  </si>
  <si>
    <t>Please do not modify or rename any of the sheets in the file.</t>
  </si>
  <si>
    <t>This sheet contains forecasted figures that provide targeted numbers as per the investment objectives. Edit as per your Objectives</t>
  </si>
  <si>
    <t>The macro is connected to this sheet through the "DATA" sheet. *Do not alter the excel formulas</t>
  </si>
  <si>
    <t>Fo the selected options previous value will be shown.</t>
  </si>
  <si>
    <r>
      <t>Enter the amount in the </t>
    </r>
    <r>
      <rPr>
        <b/>
        <sz val="12"/>
        <color theme="1"/>
        <rFont val="Calibri"/>
        <family val="2"/>
        <scheme val="minor"/>
      </rPr>
      <t>"Enter Value"</t>
    </r>
    <r>
      <rPr>
        <sz val="12"/>
        <color theme="1"/>
        <rFont val="Calibri"/>
        <family val="2"/>
        <scheme val="minor"/>
      </rPr>
      <t> box to modify (add/substract) from previous value.</t>
    </r>
  </si>
  <si>
    <t>1. A positive inflow variance indicates that actual inflows are higher than the budgeted amount.</t>
  </si>
  <si>
    <t>2. A negative inflow variance indicates that actual inflows are lower than the budgeted amount.</t>
  </si>
  <si>
    <t>3. A positive outflow variance indicates that actual outflows are higher than the budgeted amount, which is unfavorable for savings.</t>
  </si>
  <si>
    <t>4. A negative outflow variance indicates that actual outflows are lower than the budgeted amount,  which is favorable for savings.</t>
  </si>
  <si>
    <t>MACRO ENABLED SHEET</t>
  </si>
  <si>
    <r>
      <t xml:space="preserve">*Once Excel file is downloaded from the Drive Link, Right click on excel file go to </t>
    </r>
    <r>
      <rPr>
        <b/>
        <sz val="11"/>
        <color rgb="FFFF0000"/>
        <rFont val="Calibri"/>
        <family val="2"/>
        <scheme val="minor"/>
      </rPr>
      <t xml:space="preserve">Properties, CHECK UNBLOCK BOX Allow it &amp; </t>
    </r>
    <r>
      <rPr>
        <sz val="11"/>
        <color rgb="FFFF0000"/>
        <rFont val="Calibri"/>
        <family val="2"/>
        <scheme val="minor"/>
      </rPr>
      <t>Apply-Ok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</si>
</sst>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;\(#,##0.0\);\-"/>
    <numFmt numFmtId="165" formatCode="#,##0.0"/>
  </numFmts>
  <fonts count="2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7"/>
      <name val="Calibri"/>
      <family val="2"/>
      <scheme val="minor"/>
    </font>
    <font>
      <b/>
      <sz val="16"/>
      <color theme="7"/>
      <name val="Calibri"/>
      <family val="2"/>
      <scheme val="minor"/>
    </font>
    <font>
      <sz val="12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rgb="FFFF0000"/>
      <name val="Calibri"/>
      <family val="2"/>
      <scheme val="minor"/>
    </font>
    <font>
      <b/>
      <sz val="14"/>
      <color rgb="FF000000"/>
      <name val="Calibri"/>
      <family val="2"/>
    </font>
    <font>
      <b/>
      <sz val="18"/>
      <color rgb="FF000000"/>
      <name val="Calibri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6"/>
      <name val="Calibri"/>
      <family val="2"/>
      <scheme val="minor"/>
    </font>
    <font>
      <sz val="14"/>
      <name val="Calibri"/>
      <family val="2"/>
      <scheme val="minor"/>
    </font>
    <font>
      <b/>
      <sz val="16"/>
      <name val="Calibri"/>
      <family val="2"/>
      <scheme val="minor"/>
    </font>
    <font>
      <b/>
      <sz val="48"/>
      <color rgb="FFFFC000"/>
      <name val="Calibri"/>
      <family val="2"/>
      <scheme val="minor"/>
    </font>
    <font>
      <b/>
      <sz val="18"/>
      <color rgb="FFFFC000"/>
      <name val="Calibri"/>
      <family val="2"/>
      <scheme val="minor"/>
    </font>
    <font>
      <b/>
      <sz val="20"/>
      <color rgb="FFFFC0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113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17" fontId="0" fillId="0" borderId="0" xfId="0" applyNumberFormat="1"/>
    <xf numFmtId="0" fontId="2" fillId="0" borderId="0" xfId="0" applyFont="1" applyAlignment="1">
      <alignment horizontal="left"/>
    </xf>
    <xf numFmtId="17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indent="1"/>
    </xf>
    <xf numFmtId="0" fontId="2" fillId="0" borderId="0" xfId="0" applyFont="1" applyAlignment="1">
      <alignment horizontal="center" vertical="center"/>
    </xf>
    <xf numFmtId="0" fontId="5" fillId="0" borderId="0" xfId="0" applyFont="1"/>
    <xf numFmtId="3" fontId="2" fillId="0" borderId="0" xfId="0" applyNumberFormat="1" applyFont="1"/>
    <xf numFmtId="3" fontId="1" fillId="0" borderId="0" xfId="0" applyNumberFormat="1" applyFont="1"/>
    <xf numFmtId="17" fontId="1" fillId="0" borderId="0" xfId="0" applyNumberFormat="1" applyFont="1"/>
    <xf numFmtId="0" fontId="1" fillId="0" borderId="2" xfId="0" applyFont="1" applyBorder="1"/>
    <xf numFmtId="0" fontId="1" fillId="0" borderId="3" xfId="0" applyFont="1" applyBorder="1"/>
    <xf numFmtId="0" fontId="3" fillId="2" borderId="0" xfId="0" applyFont="1" applyFill="1"/>
    <xf numFmtId="3" fontId="6" fillId="2" borderId="0" xfId="0" applyNumberFormat="1" applyFont="1" applyFill="1"/>
    <xf numFmtId="0" fontId="3" fillId="0" borderId="0" xfId="0" applyFont="1"/>
    <xf numFmtId="3" fontId="6" fillId="0" borderId="0" xfId="0" applyNumberFormat="1" applyFont="1"/>
    <xf numFmtId="0" fontId="1" fillId="0" borderId="2" xfId="0" applyFont="1" applyBorder="1" applyAlignment="1">
      <alignment horizontal="left"/>
    </xf>
    <xf numFmtId="3" fontId="2" fillId="0" borderId="0" xfId="0" applyNumberFormat="1" applyFont="1" applyAlignment="1">
      <alignment horizontal="center" vertical="center"/>
    </xf>
    <xf numFmtId="17" fontId="3" fillId="2" borderId="0" xfId="0" applyNumberFormat="1" applyFont="1" applyFill="1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2" fillId="0" borderId="4" xfId="0" applyFont="1" applyBorder="1"/>
    <xf numFmtId="0" fontId="2" fillId="0" borderId="4" xfId="0" applyFont="1" applyBorder="1" applyAlignment="1">
      <alignment horizontal="left" indent="1"/>
    </xf>
    <xf numFmtId="0" fontId="2" fillId="0" borderId="4" xfId="0" applyFont="1" applyBorder="1" applyAlignment="1">
      <alignment horizontal="left"/>
    </xf>
    <xf numFmtId="0" fontId="2" fillId="0" borderId="5" xfId="0" applyFont="1" applyBorder="1"/>
    <xf numFmtId="0" fontId="2" fillId="0" borderId="4" xfId="0" applyFont="1" applyBorder="1" applyAlignment="1">
      <alignment horizontal="left" vertical="center" wrapText="1"/>
    </xf>
    <xf numFmtId="0" fontId="3" fillId="2" borderId="0" xfId="0" applyFont="1" applyFill="1" applyAlignment="1">
      <alignment horizontal="left" vertical="center"/>
    </xf>
    <xf numFmtId="17" fontId="3" fillId="2" borderId="0" xfId="0" applyNumberFormat="1" applyFont="1" applyFill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1" fillId="0" borderId="4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  <xf numFmtId="0" fontId="8" fillId="0" borderId="0" xfId="0" applyFont="1" applyAlignment="1">
      <alignment vertical="center"/>
    </xf>
    <xf numFmtId="3" fontId="9" fillId="0" borderId="0" xfId="0" applyNumberFormat="1" applyFont="1"/>
    <xf numFmtId="17" fontId="3" fillId="2" borderId="0" xfId="0" applyNumberFormat="1" applyFont="1" applyFill="1"/>
    <xf numFmtId="17" fontId="1" fillId="0" borderId="7" xfId="0" applyNumberFormat="1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2" fillId="0" borderId="7" xfId="0" applyNumberFormat="1" applyFont="1" applyBorder="1"/>
    <xf numFmtId="164" fontId="1" fillId="0" borderId="7" xfId="0" applyNumberFormat="1" applyFont="1" applyBorder="1" applyAlignment="1">
      <alignment horizontal="center" vertical="center"/>
    </xf>
    <xf numFmtId="17" fontId="1" fillId="0" borderId="7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left"/>
    </xf>
    <xf numFmtId="164" fontId="2" fillId="0" borderId="4" xfId="0" applyNumberFormat="1" applyFont="1" applyBorder="1"/>
    <xf numFmtId="164" fontId="2" fillId="0" borderId="8" xfId="0" applyNumberFormat="1" applyFont="1" applyBorder="1"/>
    <xf numFmtId="164" fontId="1" fillId="0" borderId="3" xfId="0" applyNumberFormat="1" applyFont="1" applyBorder="1"/>
    <xf numFmtId="164" fontId="1" fillId="0" borderId="2" xfId="0" applyNumberFormat="1" applyFont="1" applyBorder="1"/>
    <xf numFmtId="164" fontId="2" fillId="0" borderId="4" xfId="0" applyNumberFormat="1" applyFont="1" applyBorder="1" applyAlignment="1">
      <alignment horizontal="right" indent="1"/>
    </xf>
    <xf numFmtId="165" fontId="1" fillId="0" borderId="2" xfId="0" applyNumberFormat="1" applyFont="1" applyBorder="1"/>
    <xf numFmtId="0" fontId="2" fillId="0" borderId="8" xfId="0" applyFont="1" applyBorder="1" applyAlignment="1">
      <alignment horizontal="left" indent="1"/>
    </xf>
    <xf numFmtId="0" fontId="1" fillId="0" borderId="2" xfId="0" applyFont="1" applyBorder="1" applyAlignment="1">
      <alignment horizontal="left" indent="1"/>
    </xf>
    <xf numFmtId="164" fontId="1" fillId="0" borderId="2" xfId="0" applyNumberFormat="1" applyFont="1" applyBorder="1" applyAlignment="1">
      <alignment horizontal="right"/>
    </xf>
    <xf numFmtId="164" fontId="2" fillId="0" borderId="5" xfId="0" applyNumberFormat="1" applyFont="1" applyBorder="1"/>
    <xf numFmtId="164" fontId="2" fillId="0" borderId="1" xfId="0" applyNumberFormat="1" applyFont="1" applyBorder="1"/>
    <xf numFmtId="164" fontId="2" fillId="0" borderId="0" xfId="0" applyNumberFormat="1" applyFont="1"/>
    <xf numFmtId="0" fontId="2" fillId="0" borderId="8" xfId="0" applyFont="1" applyBorder="1"/>
    <xf numFmtId="0" fontId="2" fillId="0" borderId="3" xfId="0" applyFont="1" applyBorder="1"/>
    <xf numFmtId="164" fontId="2" fillId="0" borderId="3" xfId="0" applyNumberFormat="1" applyFont="1" applyBorder="1"/>
    <xf numFmtId="0" fontId="2" fillId="0" borderId="10" xfId="0" applyFont="1" applyBorder="1"/>
    <xf numFmtId="164" fontId="2" fillId="0" borderId="10" xfId="0" applyNumberFormat="1" applyFont="1" applyBorder="1"/>
    <xf numFmtId="0" fontId="2" fillId="0" borderId="9" xfId="0" applyFont="1" applyBorder="1"/>
    <xf numFmtId="164" fontId="2" fillId="0" borderId="9" xfId="0" applyNumberFormat="1" applyFont="1" applyBorder="1"/>
    <xf numFmtId="164" fontId="2" fillId="0" borderId="0" xfId="0" applyNumberFormat="1" applyFont="1" applyAlignment="1">
      <alignment horizontal="left" indent="1"/>
    </xf>
    <xf numFmtId="164" fontId="1" fillId="0" borderId="0" xfId="0" applyNumberFormat="1" applyFont="1"/>
    <xf numFmtId="17" fontId="3" fillId="2" borderId="0" xfId="0" applyNumberFormat="1" applyFont="1" applyFill="1" applyAlignment="1">
      <alignment horizontal="right"/>
    </xf>
    <xf numFmtId="17" fontId="3" fillId="2" borderId="0" xfId="0" applyNumberFormat="1" applyFont="1" applyFill="1" applyAlignment="1">
      <alignment horizontal="center" vertical="center"/>
    </xf>
    <xf numFmtId="0" fontId="10" fillId="0" borderId="0" xfId="0" applyFont="1"/>
    <xf numFmtId="0" fontId="11" fillId="0" borderId="0" xfId="0" applyFont="1"/>
    <xf numFmtId="0" fontId="12" fillId="0" borderId="0" xfId="0" applyFont="1"/>
    <xf numFmtId="0" fontId="1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4" fillId="0" borderId="0" xfId="0" applyFont="1"/>
    <xf numFmtId="3" fontId="2" fillId="0" borderId="0" xfId="0" applyNumberFormat="1" applyFont="1" applyAlignment="1">
      <alignment horizontal="right" indent="1"/>
    </xf>
    <xf numFmtId="3" fontId="2" fillId="0" borderId="6" xfId="0" applyNumberFormat="1" applyFont="1" applyBorder="1" applyAlignment="1">
      <alignment horizontal="right" indent="1"/>
    </xf>
    <xf numFmtId="3" fontId="2" fillId="0" borderId="8" xfId="0" applyNumberFormat="1" applyFont="1" applyBorder="1" applyAlignment="1">
      <alignment horizontal="right" indent="1"/>
    </xf>
    <xf numFmtId="0" fontId="8" fillId="0" borderId="0" xfId="0" applyFont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7" fillId="0" borderId="6" xfId="0" applyFont="1" applyBorder="1"/>
    <xf numFmtId="0" fontId="12" fillId="0" borderId="6" xfId="0" applyFont="1" applyBorder="1"/>
    <xf numFmtId="0" fontId="0" fillId="0" borderId="6" xfId="0" applyBorder="1"/>
    <xf numFmtId="0" fontId="18" fillId="0" borderId="4" xfId="0" applyFont="1" applyBorder="1" applyAlignment="1">
      <alignment horizontal="center" vertical="center"/>
    </xf>
    <xf numFmtId="0" fontId="17" fillId="0" borderId="4" xfId="0" applyFont="1" applyBorder="1"/>
    <xf numFmtId="0" fontId="12" fillId="0" borderId="4" xfId="0" applyFont="1" applyBorder="1"/>
    <xf numFmtId="0" fontId="0" fillId="0" borderId="4" xfId="0" applyBorder="1"/>
    <xf numFmtId="0" fontId="17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vertical="center" wrapText="1"/>
    </xf>
    <xf numFmtId="0" fontId="20" fillId="0" borderId="4" xfId="0" applyFont="1" applyBorder="1"/>
    <xf numFmtId="0" fontId="21" fillId="0" borderId="4" xfId="0" applyFont="1" applyBorder="1"/>
    <xf numFmtId="0" fontId="22" fillId="0" borderId="4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/>
    </xf>
    <xf numFmtId="0" fontId="19" fillId="0" borderId="12" xfId="0" applyFont="1" applyBorder="1" applyAlignment="1">
      <alignment vertical="center"/>
    </xf>
    <xf numFmtId="0" fontId="19" fillId="0" borderId="12" xfId="0" applyFont="1" applyBorder="1" applyAlignment="1">
      <alignment horizontal="left" vertical="center"/>
    </xf>
    <xf numFmtId="0" fontId="18" fillId="0" borderId="2" xfId="0" applyFont="1" applyBorder="1" applyAlignment="1">
      <alignment horizontal="center" vertical="center"/>
    </xf>
    <xf numFmtId="0" fontId="18" fillId="0" borderId="2" xfId="0" applyFont="1" applyBorder="1"/>
    <xf numFmtId="0" fontId="0" fillId="0" borderId="2" xfId="0" applyBorder="1"/>
    <xf numFmtId="0" fontId="0" fillId="0" borderId="12" xfId="0" applyBorder="1"/>
    <xf numFmtId="0" fontId="22" fillId="0" borderId="8" xfId="0" applyFont="1" applyBorder="1" applyAlignment="1">
      <alignment horizontal="center" vertical="center"/>
    </xf>
    <xf numFmtId="0" fontId="20" fillId="0" borderId="8" xfId="0" applyFont="1" applyBorder="1"/>
    <xf numFmtId="0" fontId="21" fillId="0" borderId="8" xfId="0" applyFont="1" applyBorder="1"/>
    <xf numFmtId="0" fontId="0" fillId="0" borderId="8" xfId="0" applyBorder="1"/>
    <xf numFmtId="0" fontId="25" fillId="2" borderId="0" xfId="0" applyFont="1" applyFill="1"/>
    <xf numFmtId="0" fontId="26" fillId="2" borderId="0" xfId="0" applyFont="1" applyFill="1"/>
    <xf numFmtId="0" fontId="24" fillId="2" borderId="11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23" fillId="2" borderId="0" xfId="0" applyFont="1" applyFill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27" fillId="0" borderId="0" xfId="0" applyFont="1"/>
  </cellXfs>
  <cellStyles count="1">
    <cellStyle name="Normal" xfId="0" builtinId="0"/>
  </cellStyles>
  <dxfs count="8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rgb="FF002060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alignment horizontal="left" vertical="center" textRotation="0" wrapText="1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rgb="FF002060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indent="0" justifyLastLine="0" shrinkToFit="0" readingOrder="0"/>
      <border diagonalUp="0" diagonalDown="0" outline="0">
        <left/>
        <right/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rgb="FF002060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rgb="FF00206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1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1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left" vertical="bottom" textRotation="0" wrapText="0" indent="1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rgb="FF00206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1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1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1" justifyLastLine="0" shrinkToFit="0" readingOrder="0"/>
      <border diagonalUp="0" diagonalDown="0">
        <left/>
        <right/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left" vertical="bottom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numFmt numFmtId="22" formatCode="mmm/yy"/>
      <fill>
        <patternFill patternType="solid">
          <fgColor indexed="64"/>
          <bgColor rgb="FF00206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chemeClr val="tx1"/>
                </a:solidFill>
              </a:rPr>
              <a:t>Average - B</a:t>
            </a:r>
            <a:r>
              <a:rPr lang="en-IN" b="1" baseline="0">
                <a:solidFill>
                  <a:schemeClr val="tx1"/>
                </a:solidFill>
              </a:rPr>
              <a:t> Income Source (%)</a:t>
            </a:r>
            <a:endParaRPr lang="en-IN" b="1">
              <a:solidFill>
                <a:schemeClr val="tx1"/>
              </a:solidFill>
            </a:endParaRP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0.11326438324871914"/>
          <c:y val="0.16056998065553224"/>
          <c:w val="0.59830981384875737"/>
          <c:h val="0.77704365674013931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220-4FB2-9A2A-DD8808140D60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220-4FB2-9A2A-DD8808140D60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220-4FB2-9A2A-DD8808140D60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220-4FB2-9A2A-DD8808140D60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0220-4FB2-9A2A-DD8808140D60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0220-4FB2-9A2A-DD8808140D60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Budget!$B$6:$B$12</c:f>
              <c:strCache>
                <c:ptCount val="7"/>
                <c:pt idx="0">
                  <c:v>Salary</c:v>
                </c:pt>
                <c:pt idx="1">
                  <c:v>Freelance</c:v>
                </c:pt>
                <c:pt idx="2">
                  <c:v>Business</c:v>
                </c:pt>
                <c:pt idx="3">
                  <c:v>Dividend</c:v>
                </c:pt>
                <c:pt idx="4">
                  <c:v>Rental</c:v>
                </c:pt>
                <c:pt idx="5">
                  <c:v>Other Income</c:v>
                </c:pt>
                <c:pt idx="6">
                  <c:v>Total Income</c:v>
                </c:pt>
              </c:strCache>
            </c:strRef>
          </c:cat>
          <c:val>
            <c:numRef>
              <c:f>Budget!$R$6:$R$11</c:f>
              <c:numCache>
                <c:formatCode>#,##0.0;\(#,##0.0\);\-</c:formatCode>
                <c:ptCount val="6"/>
                <c:pt idx="0">
                  <c:v>122000</c:v>
                </c:pt>
                <c:pt idx="1">
                  <c:v>11021.533333333333</c:v>
                </c:pt>
                <c:pt idx="2">
                  <c:v>13272.2</c:v>
                </c:pt>
                <c:pt idx="3">
                  <c:v>1878.7333333333333</c:v>
                </c:pt>
                <c:pt idx="4">
                  <c:v>16199.6</c:v>
                </c:pt>
                <c:pt idx="5">
                  <c:v>2069.9333333333334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E-0220-4FB2-9A2A-DD8808140D60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251423057020197"/>
          <c:y val="0.15810807621016434"/>
          <c:w val="0.19676344852985739"/>
          <c:h val="0.710543561443699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chemeClr val="tx1"/>
                </a:solidFill>
              </a:rPr>
              <a:t>Average - A</a:t>
            </a:r>
            <a:r>
              <a:rPr lang="en-IN" b="1" baseline="0">
                <a:solidFill>
                  <a:schemeClr val="tx1"/>
                </a:solidFill>
              </a:rPr>
              <a:t> Fixed Expenses (%)</a:t>
            </a:r>
            <a:endParaRPr lang="en-IN" b="1">
              <a:solidFill>
                <a:schemeClr val="tx1"/>
              </a:solidFill>
            </a:endParaRP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0.11326438324871914"/>
          <c:y val="0.22635644080852599"/>
          <c:w val="0.56678700529016812"/>
          <c:h val="0.7422156093684487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D037-466C-B4CF-784264FA9B5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D037-466C-B4CF-784264FA9B5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D037-466C-B4CF-784264FA9B5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D037-466C-B4CF-784264FA9B5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D037-466C-B4CF-784264FA9B5F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D037-466C-B4CF-784264FA9B5F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D037-466C-B4CF-784264FA9B5F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(Budget!$B$16:$B$22,Budget!$B$28:$B$32)</c:f>
              <c:strCache>
                <c:ptCount val="12"/>
                <c:pt idx="0">
                  <c:v>Rent</c:v>
                </c:pt>
                <c:pt idx="1">
                  <c:v>Utilities</c:v>
                </c:pt>
                <c:pt idx="2">
                  <c:v>Insurance</c:v>
                </c:pt>
                <c:pt idx="3">
                  <c:v>EMIs</c:v>
                </c:pt>
                <c:pt idx="4">
                  <c:v>Subscriptions</c:v>
                </c:pt>
                <c:pt idx="5">
                  <c:v>Charity</c:v>
                </c:pt>
                <c:pt idx="6">
                  <c:v>Other Fixed</c:v>
                </c:pt>
                <c:pt idx="7">
                  <c:v>Food &amp; Beverages</c:v>
                </c:pt>
                <c:pt idx="8">
                  <c:v>Transport</c:v>
                </c:pt>
                <c:pt idx="9">
                  <c:v>Entertainment</c:v>
                </c:pt>
                <c:pt idx="10">
                  <c:v>Medical</c:v>
                </c:pt>
                <c:pt idx="11">
                  <c:v>Misc</c:v>
                </c:pt>
              </c:strCache>
            </c:strRef>
          </c:cat>
          <c:val>
            <c:numRef>
              <c:f>Actual!$R$16:$R$22</c:f>
              <c:numCache>
                <c:formatCode>#,##0.0;\(#,##0.0\);\-</c:formatCode>
                <c:ptCount val="7"/>
                <c:pt idx="0">
                  <c:v>14333.333333333334</c:v>
                </c:pt>
                <c:pt idx="1">
                  <c:v>3156.4</c:v>
                </c:pt>
                <c:pt idx="2">
                  <c:v>2000</c:v>
                </c:pt>
                <c:pt idx="3">
                  <c:v>14000</c:v>
                </c:pt>
                <c:pt idx="4">
                  <c:v>1120</c:v>
                </c:pt>
                <c:pt idx="5">
                  <c:v>576</c:v>
                </c:pt>
                <c:pt idx="6">
                  <c:v>2000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8-D037-466C-B4CF-784264FA9B5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251417362501574"/>
          <c:y val="0.13911689799189883"/>
          <c:w val="0.19676344852985739"/>
          <c:h val="0.792440819706766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chemeClr val="tx1"/>
                </a:solidFill>
              </a:rPr>
              <a:t>Average - A</a:t>
            </a:r>
            <a:r>
              <a:rPr lang="en-IN" b="1" baseline="0">
                <a:solidFill>
                  <a:schemeClr val="tx1"/>
                </a:solidFill>
              </a:rPr>
              <a:t> Income Source (%)</a:t>
            </a:r>
            <a:endParaRPr lang="en-IN" b="1">
              <a:solidFill>
                <a:schemeClr val="tx1"/>
              </a:solidFill>
            </a:endParaRP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9.7393041653683801E-2"/>
          <c:y val="0.14475677243871296"/>
          <c:w val="0.59448243025140657"/>
          <c:h val="0.79285672929482465"/>
        </c:manualLayout>
      </c:layout>
      <c:pieChart>
        <c:varyColors val="1"/>
        <c:ser>
          <c:idx val="0"/>
          <c:order val="0"/>
          <c:tx>
            <c:strRef>
              <c:f>Actual!$R$4</c:f>
              <c:strCache>
                <c:ptCount val="1"/>
                <c:pt idx="0">
                  <c:v>Average - A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EC3-4C26-9F50-66D9436BE76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EC3-4C26-9F50-66D9436BE76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0EC3-4C26-9F50-66D9436BE76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EC3-4C26-9F50-66D9436BE767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0EC3-4C26-9F50-66D9436BE767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0EC3-4C26-9F50-66D9436BE767}"/>
              </c:ext>
            </c:extLst>
          </c:dPt>
          <c:dLbls>
            <c:dLbl>
              <c:idx val="3"/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EC3-4C26-9F50-66D9436BE767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Actual!$B$6:$B$12</c:f>
              <c:strCache>
                <c:ptCount val="7"/>
                <c:pt idx="0">
                  <c:v>Salary</c:v>
                </c:pt>
                <c:pt idx="1">
                  <c:v>Freelance</c:v>
                </c:pt>
                <c:pt idx="2">
                  <c:v>Business</c:v>
                </c:pt>
                <c:pt idx="3">
                  <c:v>Dividend</c:v>
                </c:pt>
                <c:pt idx="4">
                  <c:v>Rental</c:v>
                </c:pt>
                <c:pt idx="5">
                  <c:v>Other Income</c:v>
                </c:pt>
                <c:pt idx="6">
                  <c:v>Total Income</c:v>
                </c:pt>
              </c:strCache>
            </c:strRef>
          </c:cat>
          <c:val>
            <c:numRef>
              <c:f>Actual!$R$6:$R$11</c:f>
              <c:numCache>
                <c:formatCode>#,##0.0;\(#,##0.0\);\-</c:formatCode>
                <c:ptCount val="6"/>
                <c:pt idx="0">
                  <c:v>49133.333333333336</c:v>
                </c:pt>
                <c:pt idx="1">
                  <c:v>4666.666666666667</c:v>
                </c:pt>
                <c:pt idx="2">
                  <c:v>5520.4</c:v>
                </c:pt>
                <c:pt idx="3">
                  <c:v>496</c:v>
                </c:pt>
                <c:pt idx="4">
                  <c:v>5998.8</c:v>
                </c:pt>
                <c:pt idx="5">
                  <c:v>1358.8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EC3-4C26-9F50-66D9436BE76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251423057020197"/>
          <c:y val="9.9225336562079741E-2"/>
          <c:w val="0.19676344852985739"/>
          <c:h val="0.816520943018910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chemeClr val="tx1"/>
                </a:solidFill>
              </a:rPr>
              <a:t>Average - B</a:t>
            </a:r>
            <a:r>
              <a:rPr lang="en-IN" b="1" baseline="0">
                <a:solidFill>
                  <a:schemeClr val="tx1"/>
                </a:solidFill>
              </a:rPr>
              <a:t> Fixed Expenses (%)</a:t>
            </a:r>
            <a:endParaRPr lang="en-IN" b="1">
              <a:solidFill>
                <a:schemeClr val="tx1"/>
              </a:solidFill>
            </a:endParaRP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0.11326438324871914"/>
          <c:y val="0.22635644080852599"/>
          <c:w val="0.56678700529016812"/>
          <c:h val="0.7422156093684487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1520-4939-A2BB-CAE124139D3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1520-4939-A2BB-CAE124139D36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1520-4939-A2BB-CAE124139D36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1520-4939-A2BB-CAE124139D36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1520-4939-A2BB-CAE124139D36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1520-4939-A2BB-CAE124139D36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1520-4939-A2BB-CAE124139D36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(Budget!$B$16:$B$22,Budget!$B$28:$B$32)</c:f>
              <c:strCache>
                <c:ptCount val="12"/>
                <c:pt idx="0">
                  <c:v>Rent</c:v>
                </c:pt>
                <c:pt idx="1">
                  <c:v>Utilities</c:v>
                </c:pt>
                <c:pt idx="2">
                  <c:v>Insurance</c:v>
                </c:pt>
                <c:pt idx="3">
                  <c:v>EMIs</c:v>
                </c:pt>
                <c:pt idx="4">
                  <c:v>Subscriptions</c:v>
                </c:pt>
                <c:pt idx="5">
                  <c:v>Charity</c:v>
                </c:pt>
                <c:pt idx="6">
                  <c:v>Other Fixed</c:v>
                </c:pt>
                <c:pt idx="7">
                  <c:v>Food &amp; Beverages</c:v>
                </c:pt>
                <c:pt idx="8">
                  <c:v>Transport</c:v>
                </c:pt>
                <c:pt idx="9">
                  <c:v>Entertainment</c:v>
                </c:pt>
                <c:pt idx="10">
                  <c:v>Medical</c:v>
                </c:pt>
                <c:pt idx="11">
                  <c:v>Misc</c:v>
                </c:pt>
              </c:strCache>
            </c:strRef>
          </c:cat>
          <c:val>
            <c:numRef>
              <c:f>Budget!$R$16:$R$22</c:f>
              <c:numCache>
                <c:formatCode>#,##0.0;\(#,##0.0\);\-</c:formatCode>
                <c:ptCount val="7"/>
                <c:pt idx="0">
                  <c:v>36999.599999999999</c:v>
                </c:pt>
                <c:pt idx="1">
                  <c:v>7394.6</c:v>
                </c:pt>
                <c:pt idx="2">
                  <c:v>5000</c:v>
                </c:pt>
                <c:pt idx="3">
                  <c:v>35000</c:v>
                </c:pt>
                <c:pt idx="4">
                  <c:v>2800</c:v>
                </c:pt>
                <c:pt idx="5">
                  <c:v>951.6</c:v>
                </c:pt>
                <c:pt idx="6">
                  <c:v>5000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8-1520-4939-A2BB-CAE124139D36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251417362501574"/>
          <c:y val="0.15833787366968147"/>
          <c:w val="0.19676344852985739"/>
          <c:h val="0.7539991282554210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chemeClr val="tx1"/>
                </a:solidFill>
              </a:rPr>
              <a:t>Average - B</a:t>
            </a:r>
            <a:r>
              <a:rPr lang="en-IN" b="1" baseline="0">
                <a:solidFill>
                  <a:schemeClr val="tx1"/>
                </a:solidFill>
              </a:rPr>
              <a:t> Investments (%)</a:t>
            </a:r>
            <a:endParaRPr lang="en-IN" b="1">
              <a:solidFill>
                <a:schemeClr val="tx1"/>
              </a:solidFill>
            </a:endParaRP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0.11326438324871914"/>
          <c:y val="0.22635644080852599"/>
          <c:w val="0.56678700529016812"/>
          <c:h val="0.7422156093684487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F7B5-41A7-B055-19254804B0D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F7B5-41A7-B055-19254804B0D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F7B5-41A7-B055-19254804B0DA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F7B5-41A7-B055-19254804B0DA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F7B5-41A7-B055-19254804B0DA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F7B5-41A7-B055-19254804B0DA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F7B5-41A7-B055-19254804B0DA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F7B5-41A7-B055-19254804B0DA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F7B5-41A7-B055-19254804B0DA}"/>
              </c:ext>
            </c:extLst>
          </c:dPt>
          <c:dLbls>
            <c:dLbl>
              <c:idx val="4"/>
              <c:layout>
                <c:manualLayout>
                  <c:x val="-0.10444127198648059"/>
                  <c:y val="-0.10171011003353453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7B5-41A7-B055-19254804B0DA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Budget!$B$42:$B$54</c:f>
              <c:strCache>
                <c:ptCount val="13"/>
                <c:pt idx="0">
                  <c:v>SIPs</c:v>
                </c:pt>
                <c:pt idx="1">
                  <c:v>b</c:v>
                </c:pt>
                <c:pt idx="2">
                  <c:v>FDs</c:v>
                </c:pt>
                <c:pt idx="3">
                  <c:v>Emergency Fund </c:v>
                </c:pt>
                <c:pt idx="4">
                  <c:v>Equities</c:v>
                </c:pt>
                <c:pt idx="5">
                  <c:v>Trading Account Margin</c:v>
                </c:pt>
                <c:pt idx="6">
                  <c:v>Bonds </c:v>
                </c:pt>
                <c:pt idx="7">
                  <c:v>Metals</c:v>
                </c:pt>
                <c:pt idx="8">
                  <c:v>Real Estate</c:v>
                </c:pt>
                <c:pt idx="10">
                  <c:v>Total Invesments</c:v>
                </c:pt>
                <c:pt idx="12">
                  <c:v>Surplus in Cash</c:v>
                </c:pt>
              </c:strCache>
            </c:strRef>
          </c:cat>
          <c:val>
            <c:numRef>
              <c:f>Budget!$R$42:$R$50</c:f>
              <c:numCache>
                <c:formatCode>#,##0.0;\(#,##0.0\);\-</c:formatCode>
                <c:ptCount val="9"/>
                <c:pt idx="0">
                  <c:v>16600</c:v>
                </c:pt>
                <c:pt idx="1">
                  <c:v>3000</c:v>
                </c:pt>
                <c:pt idx="2">
                  <c:v>0</c:v>
                </c:pt>
                <c:pt idx="3">
                  <c:v>10000</c:v>
                </c:pt>
                <c:pt idx="4">
                  <c:v>25000</c:v>
                </c:pt>
                <c:pt idx="5">
                  <c:v>0</c:v>
                </c:pt>
                <c:pt idx="6">
                  <c:v>5000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8-F7B5-41A7-B055-19254804B0D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95394418634064"/>
          <c:y val="6.9647548823750211E-2"/>
          <c:w val="0.19676344852985739"/>
          <c:h val="0.9060053515431090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chemeClr val="tx1"/>
                </a:solidFill>
              </a:rPr>
              <a:t>Average - A</a:t>
            </a:r>
            <a:r>
              <a:rPr lang="en-IN" b="1" baseline="0">
                <a:solidFill>
                  <a:schemeClr val="tx1"/>
                </a:solidFill>
              </a:rPr>
              <a:t> Investments (%)</a:t>
            </a:r>
            <a:endParaRPr lang="en-IN" b="1">
              <a:solidFill>
                <a:schemeClr val="tx1"/>
              </a:solidFill>
            </a:endParaRP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0.11326438324871914"/>
          <c:y val="0.22635644080852599"/>
          <c:w val="0.56678700529016812"/>
          <c:h val="0.7422156093684487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44C-43EF-8093-A6CC12E1DB82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4C-43EF-8093-A6CC12E1DB82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4C-43EF-8093-A6CC12E1DB82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344C-43EF-8093-A6CC12E1DB82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4C-43EF-8093-A6CC12E1DB82}"/>
              </c:ext>
            </c:extLst>
          </c:dPt>
          <c:dPt>
            <c:idx val="5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4C-43EF-8093-A6CC12E1DB82}"/>
              </c:ext>
            </c:extLst>
          </c:dPt>
          <c:dPt>
            <c:idx val="6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D-344C-43EF-8093-A6CC12E1DB82}"/>
              </c:ext>
            </c:extLst>
          </c:dPt>
          <c:dPt>
            <c:idx val="7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F-344C-43EF-8093-A6CC12E1DB82}"/>
              </c:ext>
            </c:extLst>
          </c:dPt>
          <c:dPt>
            <c:idx val="8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80000"/>
                      <a:lumOff val="2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80000"/>
                    <a:lumOff val="2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11-344C-43EF-8093-A6CC12E1DB82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Actual!$B$42:$B$54</c:f>
              <c:strCache>
                <c:ptCount val="13"/>
                <c:pt idx="0">
                  <c:v>SIPs</c:v>
                </c:pt>
                <c:pt idx="1">
                  <c:v>RDs</c:v>
                </c:pt>
                <c:pt idx="2">
                  <c:v>FDs</c:v>
                </c:pt>
                <c:pt idx="3">
                  <c:v>Emergency Fund </c:v>
                </c:pt>
                <c:pt idx="4">
                  <c:v>Equities</c:v>
                </c:pt>
                <c:pt idx="5">
                  <c:v>Trading Account Margin</c:v>
                </c:pt>
                <c:pt idx="6">
                  <c:v>Bonds </c:v>
                </c:pt>
                <c:pt idx="7">
                  <c:v>Metals</c:v>
                </c:pt>
                <c:pt idx="8">
                  <c:v>Real Estate</c:v>
                </c:pt>
                <c:pt idx="10">
                  <c:v>Total Invesments</c:v>
                </c:pt>
                <c:pt idx="12">
                  <c:v>Surplus in Cash</c:v>
                </c:pt>
              </c:strCache>
            </c:strRef>
          </c:cat>
          <c:val>
            <c:numRef>
              <c:f>Actual!$R$42:$R$50</c:f>
              <c:numCache>
                <c:formatCode>#,##0.0;\(#,##0.0\);\-</c:formatCode>
                <c:ptCount val="9"/>
                <c:pt idx="0">
                  <c:v>16600</c:v>
                </c:pt>
                <c:pt idx="1">
                  <c:v>3000</c:v>
                </c:pt>
                <c:pt idx="2">
                  <c:v>0</c:v>
                </c:pt>
                <c:pt idx="3">
                  <c:v>10000</c:v>
                </c:pt>
                <c:pt idx="4">
                  <c:v>25000</c:v>
                </c:pt>
                <c:pt idx="5">
                  <c:v>0</c:v>
                </c:pt>
                <c:pt idx="6">
                  <c:v>5000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14-344C-43EF-8093-A6CC12E1DB82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251415371605959"/>
          <c:y val="6.5977241863511768E-2"/>
          <c:w val="0.19676344852985739"/>
          <c:h val="0.8923045178774906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chemeClr val="tx1"/>
                </a:solidFill>
              </a:rPr>
              <a:t>Average - A</a:t>
            </a:r>
            <a:r>
              <a:rPr lang="en-IN" b="1" baseline="0">
                <a:solidFill>
                  <a:schemeClr val="tx1"/>
                </a:solidFill>
              </a:rPr>
              <a:t> Variable Expenses (%)</a:t>
            </a:r>
            <a:endParaRPr lang="en-IN" b="1">
              <a:solidFill>
                <a:schemeClr val="tx1"/>
              </a:solidFill>
            </a:endParaRP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0.11326438324871914"/>
          <c:y val="0.22635644080852599"/>
          <c:w val="0.56678700529016812"/>
          <c:h val="0.74221560936844877"/>
        </c:manualLayout>
      </c:layout>
      <c:pieChart>
        <c:varyColors val="1"/>
        <c:ser>
          <c:idx val="0"/>
          <c:order val="0"/>
          <c:tx>
            <c:strRef>
              <c:f>Actual!$R$4</c:f>
              <c:strCache>
                <c:ptCount val="1"/>
                <c:pt idx="0">
                  <c:v>Average - A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9062-45B4-8F3A-548DDA1C8E6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9062-45B4-8F3A-548DDA1C8E6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9062-45B4-8F3A-548DDA1C8E6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9062-45B4-8F3A-548DDA1C8E6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9062-45B4-8F3A-548DDA1C8E6D}"/>
              </c:ext>
            </c:extLst>
          </c:dPt>
          <c:dLbls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(Budget!$B$16:$B$22,Budget!$B$28:$B$32)</c:f>
              <c:strCache>
                <c:ptCount val="12"/>
                <c:pt idx="0">
                  <c:v>Rent</c:v>
                </c:pt>
                <c:pt idx="1">
                  <c:v>Utilities</c:v>
                </c:pt>
                <c:pt idx="2">
                  <c:v>Insurance</c:v>
                </c:pt>
                <c:pt idx="3">
                  <c:v>EMIs</c:v>
                </c:pt>
                <c:pt idx="4">
                  <c:v>Subscriptions</c:v>
                </c:pt>
                <c:pt idx="5">
                  <c:v>Charity</c:v>
                </c:pt>
                <c:pt idx="6">
                  <c:v>Other Fixed</c:v>
                </c:pt>
                <c:pt idx="7">
                  <c:v>Food &amp; Beverages</c:v>
                </c:pt>
                <c:pt idx="8">
                  <c:v>Transport</c:v>
                </c:pt>
                <c:pt idx="9">
                  <c:v>Entertainment</c:v>
                </c:pt>
                <c:pt idx="10">
                  <c:v>Medical</c:v>
                </c:pt>
                <c:pt idx="11">
                  <c:v>Misc</c:v>
                </c:pt>
              </c:strCache>
            </c:strRef>
          </c:cat>
          <c:val>
            <c:numRef>
              <c:f>Actual!$R$28:$R$32</c:f>
              <c:numCache>
                <c:formatCode>#,##0.0;\(#,##0.0\);\-</c:formatCode>
                <c:ptCount val="5"/>
                <c:pt idx="0">
                  <c:v>5011.0666666666666</c:v>
                </c:pt>
                <c:pt idx="1">
                  <c:v>4651.1333333333332</c:v>
                </c:pt>
                <c:pt idx="2">
                  <c:v>2125.2666666666669</c:v>
                </c:pt>
                <c:pt idx="3">
                  <c:v>1608.8666666666666</c:v>
                </c:pt>
                <c:pt idx="4">
                  <c:v>1718.8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062-45B4-8F3A-548DDA1C8E6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251417362501574"/>
          <c:y val="8.6086686861792189E-2"/>
          <c:w val="0.19676344852985739"/>
          <c:h val="0.845471101131702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spc="2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b="1">
                <a:solidFill>
                  <a:schemeClr val="tx1"/>
                </a:solidFill>
              </a:rPr>
              <a:t>Average - B</a:t>
            </a:r>
            <a:r>
              <a:rPr lang="en-IN" b="1" baseline="0">
                <a:solidFill>
                  <a:schemeClr val="tx1"/>
                </a:solidFill>
              </a:rPr>
              <a:t> Variable Expenses (%)</a:t>
            </a:r>
            <a:endParaRPr lang="en-IN" b="1">
              <a:solidFill>
                <a:schemeClr val="tx1"/>
              </a:solidFill>
            </a:endParaRPr>
          </a:p>
        </c:rich>
      </c:tx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spc="2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0.13415319286319"/>
          <c:y val="0.23239681328926179"/>
          <c:w val="0.56678700529016812"/>
          <c:h val="0.74221560936844877"/>
        </c:manualLayout>
      </c:layout>
      <c:pieChart>
        <c:varyColors val="1"/>
        <c:ser>
          <c:idx val="0"/>
          <c:order val="0"/>
          <c:tx>
            <c:strRef>
              <c:f>Budget!$R$4</c:f>
              <c:strCache>
                <c:ptCount val="1"/>
                <c:pt idx="0">
                  <c:v>Average - B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CA19-4BC4-9B72-83D1E5DE9EA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CA19-4BC4-9B72-83D1E5DE9EA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6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6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6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CA19-4BC4-9B72-83D1E5DE9EA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CA19-4BC4-9B72-83D1E5DE9EA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60000"/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60000"/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CA19-4BC4-9B72-83D1E5DE9EA9}"/>
              </c:ext>
            </c:extLst>
          </c:dPt>
          <c:dLbls>
            <c:dLbl>
              <c:idx val="1"/>
              <c:layout>
                <c:manualLayout>
                  <c:x val="-2.0888889202183118E-2"/>
                  <c:y val="-0.1268569975663797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A19-4BC4-9B72-83D1E5DE9EA9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(Budget!$B$16:$B$22,Budget!$B$28:$B$32)</c:f>
              <c:strCache>
                <c:ptCount val="12"/>
                <c:pt idx="0">
                  <c:v>Rent</c:v>
                </c:pt>
                <c:pt idx="1">
                  <c:v>Utilities</c:v>
                </c:pt>
                <c:pt idx="2">
                  <c:v>Insurance</c:v>
                </c:pt>
                <c:pt idx="3">
                  <c:v>EMIs</c:v>
                </c:pt>
                <c:pt idx="4">
                  <c:v>Subscriptions</c:v>
                </c:pt>
                <c:pt idx="5">
                  <c:v>Charity</c:v>
                </c:pt>
                <c:pt idx="6">
                  <c:v>Other Fixed</c:v>
                </c:pt>
                <c:pt idx="7">
                  <c:v>Food &amp; Beverages</c:v>
                </c:pt>
                <c:pt idx="8">
                  <c:v>Transport</c:v>
                </c:pt>
                <c:pt idx="9">
                  <c:v>Entertainment</c:v>
                </c:pt>
                <c:pt idx="10">
                  <c:v>Medical</c:v>
                </c:pt>
                <c:pt idx="11">
                  <c:v>Misc</c:v>
                </c:pt>
              </c:strCache>
            </c:strRef>
          </c:cat>
          <c:val>
            <c:numRef>
              <c:f>Budget!$R$28:$R$32</c:f>
              <c:numCache>
                <c:formatCode>#,##0.0;\(#,##0.0\);\-</c:formatCode>
                <c:ptCount val="5"/>
                <c:pt idx="0">
                  <c:v>5011.0666666666666</c:v>
                </c:pt>
                <c:pt idx="1">
                  <c:v>4651.1333333333332</c:v>
                </c:pt>
                <c:pt idx="2">
                  <c:v>2125.2666666666669</c:v>
                </c:pt>
                <c:pt idx="3">
                  <c:v>1608.8666666666666</c:v>
                </c:pt>
                <c:pt idx="4">
                  <c:v>1718.8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A19-4BC4-9B72-83D1E5DE9EA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251417362501574"/>
          <c:y val="0.10753148732172742"/>
          <c:w val="0.19676344852985739"/>
          <c:h val="0.804805675385548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3600">
                <a:solidFill>
                  <a:schemeClr val="tx1"/>
                </a:solidFill>
              </a:rPr>
              <a:t>Investments</a:t>
            </a:r>
            <a:r>
              <a:rPr lang="en-IN" sz="3600" baseline="0">
                <a:solidFill>
                  <a:schemeClr val="tx1"/>
                </a:solidFill>
              </a:rPr>
              <a:t> - A</a:t>
            </a:r>
            <a:r>
              <a:rPr lang="en-IN" sz="3600">
                <a:solidFill>
                  <a:schemeClr val="tx1"/>
                </a:solidFill>
              </a:rPr>
              <a:t> Vs Investment</a:t>
            </a:r>
            <a:r>
              <a:rPr lang="en-IN" sz="3600" baseline="0">
                <a:solidFill>
                  <a:schemeClr val="tx1"/>
                </a:solidFill>
              </a:rPr>
              <a:t> - B</a:t>
            </a:r>
            <a:endParaRPr lang="en-IN" sz="3600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3597224163812838"/>
          <c:y val="3.91332873925584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IN"/>
        </a:p>
      </c:txPr>
    </c:title>
    <c:autoTitleDeleted val="0"/>
    <c:plotArea>
      <c:layout>
        <c:manualLayout>
          <c:layoutTarget val="inner"/>
          <c:xMode val="edge"/>
          <c:yMode val="edge"/>
          <c:x val="8.8664947625517687E-2"/>
          <c:y val="0.18039487508965288"/>
          <c:w val="0.88077950438246577"/>
          <c:h val="0.641321443750747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Budget!$B$40</c:f>
              <c:strCache>
                <c:ptCount val="1"/>
                <c:pt idx="0">
                  <c:v>Investments - B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numRef>
              <c:f>Cashflows!$C$4:$Q$4</c:f>
              <c:numCache>
                <c:formatCode>mmm\-yy</c:formatCode>
                <c:ptCount val="15"/>
                <c:pt idx="0">
                  <c:v>45961</c:v>
                </c:pt>
                <c:pt idx="1">
                  <c:v>45991</c:v>
                </c:pt>
                <c:pt idx="2">
                  <c:v>46022</c:v>
                </c:pt>
                <c:pt idx="3">
                  <c:v>46053</c:v>
                </c:pt>
                <c:pt idx="4">
                  <c:v>46081</c:v>
                </c:pt>
                <c:pt idx="5">
                  <c:v>46112</c:v>
                </c:pt>
                <c:pt idx="6">
                  <c:v>46142</c:v>
                </c:pt>
                <c:pt idx="7">
                  <c:v>46173</c:v>
                </c:pt>
                <c:pt idx="8">
                  <c:v>46203</c:v>
                </c:pt>
                <c:pt idx="9">
                  <c:v>46234</c:v>
                </c:pt>
                <c:pt idx="10">
                  <c:v>46265</c:v>
                </c:pt>
                <c:pt idx="11">
                  <c:v>46295</c:v>
                </c:pt>
                <c:pt idx="12">
                  <c:v>46326</c:v>
                </c:pt>
                <c:pt idx="13">
                  <c:v>46356</c:v>
                </c:pt>
                <c:pt idx="14">
                  <c:v>46387</c:v>
                </c:pt>
              </c:numCache>
            </c:numRef>
          </c:cat>
          <c:val>
            <c:numRef>
              <c:f>Budget!$C$52:$Q$52</c:f>
              <c:numCache>
                <c:formatCode>#,##0.0;\(#,##0.0\);\-</c:formatCode>
                <c:ptCount val="15"/>
                <c:pt idx="0">
                  <c:v>53000</c:v>
                </c:pt>
                <c:pt idx="1">
                  <c:v>58000</c:v>
                </c:pt>
                <c:pt idx="2">
                  <c:v>55000</c:v>
                </c:pt>
                <c:pt idx="3">
                  <c:v>63000</c:v>
                </c:pt>
                <c:pt idx="4">
                  <c:v>58000</c:v>
                </c:pt>
                <c:pt idx="5">
                  <c:v>58000</c:v>
                </c:pt>
                <c:pt idx="6">
                  <c:v>58000</c:v>
                </c:pt>
                <c:pt idx="7">
                  <c:v>58000</c:v>
                </c:pt>
                <c:pt idx="8">
                  <c:v>60000</c:v>
                </c:pt>
                <c:pt idx="9">
                  <c:v>64000</c:v>
                </c:pt>
                <c:pt idx="10">
                  <c:v>61000</c:v>
                </c:pt>
                <c:pt idx="11">
                  <c:v>63000</c:v>
                </c:pt>
                <c:pt idx="12">
                  <c:v>59000</c:v>
                </c:pt>
                <c:pt idx="13">
                  <c:v>61000</c:v>
                </c:pt>
                <c:pt idx="14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A8-4123-BB7C-742CBF2E0F83}"/>
            </c:ext>
          </c:extLst>
        </c:ser>
        <c:ser>
          <c:idx val="1"/>
          <c:order val="1"/>
          <c:tx>
            <c:strRef>
              <c:f>'Total Investments'!$B$4</c:f>
              <c:strCache>
                <c:ptCount val="1"/>
                <c:pt idx="0">
                  <c:v>Investments - 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Cashflows!$C$4:$Q$4</c:f>
              <c:numCache>
                <c:formatCode>mmm\-yy</c:formatCode>
                <c:ptCount val="15"/>
                <c:pt idx="0">
                  <c:v>45961</c:v>
                </c:pt>
                <c:pt idx="1">
                  <c:v>45991</c:v>
                </c:pt>
                <c:pt idx="2">
                  <c:v>46022</c:v>
                </c:pt>
                <c:pt idx="3">
                  <c:v>46053</c:v>
                </c:pt>
                <c:pt idx="4">
                  <c:v>46081</c:v>
                </c:pt>
                <c:pt idx="5">
                  <c:v>46112</c:v>
                </c:pt>
                <c:pt idx="6">
                  <c:v>46142</c:v>
                </c:pt>
                <c:pt idx="7">
                  <c:v>46173</c:v>
                </c:pt>
                <c:pt idx="8">
                  <c:v>46203</c:v>
                </c:pt>
                <c:pt idx="9">
                  <c:v>46234</c:v>
                </c:pt>
                <c:pt idx="10">
                  <c:v>46265</c:v>
                </c:pt>
                <c:pt idx="11">
                  <c:v>46295</c:v>
                </c:pt>
                <c:pt idx="12">
                  <c:v>46326</c:v>
                </c:pt>
                <c:pt idx="13">
                  <c:v>46356</c:v>
                </c:pt>
                <c:pt idx="14">
                  <c:v>46387</c:v>
                </c:pt>
              </c:numCache>
            </c:numRef>
          </c:cat>
          <c:val>
            <c:numRef>
              <c:f>'Total Investments'!$C$16:$R$16</c:f>
              <c:numCache>
                <c:formatCode>#,##0.0;\(#,##0.0\);\-</c:formatCode>
                <c:ptCount val="16"/>
                <c:pt idx="0">
                  <c:v>29000</c:v>
                </c:pt>
                <c:pt idx="1">
                  <c:v>43000</c:v>
                </c:pt>
                <c:pt idx="2">
                  <c:v>53000</c:v>
                </c:pt>
                <c:pt idx="3">
                  <c:v>53000</c:v>
                </c:pt>
                <c:pt idx="4">
                  <c:v>53000</c:v>
                </c:pt>
                <c:pt idx="5">
                  <c:v>53000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284000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A8-4123-BB7C-742CBF2E0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289248"/>
        <c:axId val="456574208"/>
      </c:barChart>
      <c:lineChart>
        <c:grouping val="standard"/>
        <c:varyColors val="0"/>
        <c:ser>
          <c:idx val="2"/>
          <c:order val="2"/>
          <c:tx>
            <c:v>Invest. B</c:v>
          </c:tx>
          <c:spPr>
            <a:ln w="2540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Budget!$C$52:$Q$52</c:f>
              <c:numCache>
                <c:formatCode>#,##0.0;\(#,##0.0\);\-</c:formatCode>
                <c:ptCount val="15"/>
                <c:pt idx="0">
                  <c:v>53000</c:v>
                </c:pt>
                <c:pt idx="1">
                  <c:v>58000</c:v>
                </c:pt>
                <c:pt idx="2">
                  <c:v>55000</c:v>
                </c:pt>
                <c:pt idx="3">
                  <c:v>63000</c:v>
                </c:pt>
                <c:pt idx="4">
                  <c:v>58000</c:v>
                </c:pt>
                <c:pt idx="5">
                  <c:v>58000</c:v>
                </c:pt>
                <c:pt idx="6">
                  <c:v>58000</c:v>
                </c:pt>
                <c:pt idx="7">
                  <c:v>58000</c:v>
                </c:pt>
                <c:pt idx="8">
                  <c:v>60000</c:v>
                </c:pt>
                <c:pt idx="9">
                  <c:v>64000</c:v>
                </c:pt>
                <c:pt idx="10">
                  <c:v>61000</c:v>
                </c:pt>
                <c:pt idx="11">
                  <c:v>63000</c:v>
                </c:pt>
                <c:pt idx="12">
                  <c:v>59000</c:v>
                </c:pt>
                <c:pt idx="13">
                  <c:v>61000</c:v>
                </c:pt>
                <c:pt idx="14">
                  <c:v>65000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AA8-4123-BB7C-742CBF2E0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289248"/>
        <c:axId val="456574208"/>
      </c:lineChart>
      <c:dateAx>
        <c:axId val="32428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74208"/>
        <c:crosses val="autoZero"/>
        <c:auto val="1"/>
        <c:lblOffset val="100"/>
        <c:baseTimeUnit val="months"/>
      </c:dateAx>
      <c:valAx>
        <c:axId val="4565742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;\(#,##0.0\);\-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2892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6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291813381726059E-2"/>
          <c:y val="0.91310976643129071"/>
          <c:w val="0.92766841644794396"/>
          <c:h val="8.52365881134434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solidFill>
                  <a:schemeClr val="tx1"/>
                </a:solidFill>
              </a:rPr>
              <a:t>Inflows Variance Vs Outflows Variance</a:t>
            </a:r>
          </a:p>
        </c:rich>
      </c:tx>
      <c:layout>
        <c:manualLayout>
          <c:xMode val="edge"/>
          <c:yMode val="edge"/>
          <c:x val="0.36333757286021068"/>
          <c:y val="4.55118110236220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2256727852200298E-2"/>
          <c:y val="0.18228813559322035"/>
          <c:w val="0.90286231976684728"/>
          <c:h val="0.72201944036656429"/>
        </c:manualLayout>
      </c:layout>
      <c:lineChart>
        <c:grouping val="standard"/>
        <c:varyColors val="0"/>
        <c:ser>
          <c:idx val="0"/>
          <c:order val="0"/>
          <c:tx>
            <c:strRef>
              <c:f>Cashflows!$B$23</c:f>
              <c:strCache>
                <c:ptCount val="1"/>
                <c:pt idx="0">
                  <c:v>Inflows - V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accent1"/>
                </a:solidFill>
                <a:round/>
              </a:ln>
              <a:effectLst/>
            </c:spPr>
          </c:marker>
          <c:cat>
            <c:numRef>
              <c:f>Cashflows!$C$20:$Q$20</c:f>
              <c:numCache>
                <c:formatCode>mmm\-yy</c:formatCode>
                <c:ptCount val="15"/>
                <c:pt idx="0">
                  <c:v>45961</c:v>
                </c:pt>
                <c:pt idx="1">
                  <c:v>45991</c:v>
                </c:pt>
                <c:pt idx="2">
                  <c:v>46022</c:v>
                </c:pt>
                <c:pt idx="3">
                  <c:v>46053</c:v>
                </c:pt>
                <c:pt idx="4">
                  <c:v>46081</c:v>
                </c:pt>
                <c:pt idx="5">
                  <c:v>46112</c:v>
                </c:pt>
                <c:pt idx="6">
                  <c:v>46142</c:v>
                </c:pt>
                <c:pt idx="7">
                  <c:v>46173</c:v>
                </c:pt>
                <c:pt idx="8">
                  <c:v>46203</c:v>
                </c:pt>
                <c:pt idx="9">
                  <c:v>46234</c:v>
                </c:pt>
                <c:pt idx="10">
                  <c:v>46265</c:v>
                </c:pt>
                <c:pt idx="11">
                  <c:v>46295</c:v>
                </c:pt>
                <c:pt idx="12">
                  <c:v>46326</c:v>
                </c:pt>
                <c:pt idx="13">
                  <c:v>46356</c:v>
                </c:pt>
                <c:pt idx="14">
                  <c:v>46387</c:v>
                </c:pt>
              </c:numCache>
            </c:numRef>
          </c:cat>
          <c:val>
            <c:numRef>
              <c:f>Cashflows!$C$23:$Q$23</c:f>
              <c:numCache>
                <c:formatCode>#,##0.0;\(#,##0.0\);\-</c:formatCode>
                <c:ptCount val="15"/>
                <c:pt idx="0">
                  <c:v>18978</c:v>
                </c:pt>
                <c:pt idx="1">
                  <c:v>-624</c:v>
                </c:pt>
                <c:pt idx="2">
                  <c:v>2322</c:v>
                </c:pt>
                <c:pt idx="3">
                  <c:v>4906</c:v>
                </c:pt>
                <c:pt idx="4">
                  <c:v>466</c:v>
                </c:pt>
                <c:pt idx="5">
                  <c:v>6191</c:v>
                </c:pt>
                <c:pt idx="6">
                  <c:v>-164668</c:v>
                </c:pt>
                <c:pt idx="7">
                  <c:v>-163779</c:v>
                </c:pt>
                <c:pt idx="8">
                  <c:v>-163454</c:v>
                </c:pt>
                <c:pt idx="9">
                  <c:v>-170192</c:v>
                </c:pt>
                <c:pt idx="10">
                  <c:v>-171629</c:v>
                </c:pt>
                <c:pt idx="11">
                  <c:v>-171090</c:v>
                </c:pt>
                <c:pt idx="12">
                  <c:v>-174425</c:v>
                </c:pt>
                <c:pt idx="13">
                  <c:v>-171913</c:v>
                </c:pt>
                <c:pt idx="14">
                  <c:v>-170109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353-4DA4-A0FC-63924917562C}"/>
            </c:ext>
          </c:extLst>
        </c:ser>
        <c:ser>
          <c:idx val="1"/>
          <c:order val="1"/>
          <c:tx>
            <c:strRef>
              <c:f>Cashflows!$B$24</c:f>
              <c:strCache>
                <c:ptCount val="1"/>
                <c:pt idx="0">
                  <c:v>Outflows - V</c:v>
                </c:pt>
              </c:strCache>
            </c:strRef>
          </c:tx>
          <c:spPr>
            <a:ln w="127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12700">
                <a:solidFill>
                  <a:schemeClr val="accent2"/>
                </a:solidFill>
                <a:round/>
              </a:ln>
              <a:effectLst/>
            </c:spPr>
          </c:marker>
          <c:cat>
            <c:numRef>
              <c:f>Cashflows!$C$20:$Q$20</c:f>
              <c:numCache>
                <c:formatCode>mmm\-yy</c:formatCode>
                <c:ptCount val="15"/>
                <c:pt idx="0">
                  <c:v>45961</c:v>
                </c:pt>
                <c:pt idx="1">
                  <c:v>45991</c:v>
                </c:pt>
                <c:pt idx="2">
                  <c:v>46022</c:v>
                </c:pt>
                <c:pt idx="3">
                  <c:v>46053</c:v>
                </c:pt>
                <c:pt idx="4">
                  <c:v>46081</c:v>
                </c:pt>
                <c:pt idx="5">
                  <c:v>46112</c:v>
                </c:pt>
                <c:pt idx="6">
                  <c:v>46142</c:v>
                </c:pt>
                <c:pt idx="7">
                  <c:v>46173</c:v>
                </c:pt>
                <c:pt idx="8">
                  <c:v>46203</c:v>
                </c:pt>
                <c:pt idx="9">
                  <c:v>46234</c:v>
                </c:pt>
                <c:pt idx="10">
                  <c:v>46265</c:v>
                </c:pt>
                <c:pt idx="11">
                  <c:v>46295</c:v>
                </c:pt>
                <c:pt idx="12">
                  <c:v>46326</c:v>
                </c:pt>
                <c:pt idx="13">
                  <c:v>46356</c:v>
                </c:pt>
                <c:pt idx="14">
                  <c:v>46387</c:v>
                </c:pt>
              </c:numCache>
            </c:numRef>
          </c:cat>
          <c:val>
            <c:numRef>
              <c:f>Cashflows!$C$24:$Q$24</c:f>
              <c:numCache>
                <c:formatCode>#,##0.0;\(#,##0.0\);\-</c:formatCode>
                <c:ptCount val="15"/>
                <c:pt idx="0">
                  <c:v>-61530</c:v>
                </c:pt>
                <c:pt idx="1">
                  <c:v>-27100</c:v>
                </c:pt>
                <c:pt idx="2">
                  <c:v>-3142</c:v>
                </c:pt>
                <c:pt idx="3">
                  <c:v>-22552</c:v>
                </c:pt>
                <c:pt idx="4">
                  <c:v>-7244</c:v>
                </c:pt>
                <c:pt idx="5">
                  <c:v>1243</c:v>
                </c:pt>
                <c:pt idx="6">
                  <c:v>-164526</c:v>
                </c:pt>
                <c:pt idx="7">
                  <c:v>-168867</c:v>
                </c:pt>
                <c:pt idx="8">
                  <c:v>-169432</c:v>
                </c:pt>
                <c:pt idx="9">
                  <c:v>-183928</c:v>
                </c:pt>
                <c:pt idx="10">
                  <c:v>-165303</c:v>
                </c:pt>
                <c:pt idx="11">
                  <c:v>-174028</c:v>
                </c:pt>
                <c:pt idx="12">
                  <c:v>-167905</c:v>
                </c:pt>
                <c:pt idx="13">
                  <c:v>-169207</c:v>
                </c:pt>
                <c:pt idx="14">
                  <c:v>-180659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353-4DA4-A0FC-6392491756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289248"/>
        <c:axId val="456574208"/>
      </c:lineChart>
      <c:dateAx>
        <c:axId val="32428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74208"/>
        <c:crosses val="autoZero"/>
        <c:auto val="1"/>
        <c:lblOffset val="100"/>
        <c:baseTimeUnit val="months"/>
      </c:dateAx>
      <c:valAx>
        <c:axId val="4565742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;\(#,##0.0\);\-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2892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5782791120671349E-2"/>
          <c:y val="0.91703000190508366"/>
          <c:w val="0.93881521201895213"/>
          <c:h val="7.77783342515150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solidFill>
                  <a:sysClr val="windowText" lastClr="000000"/>
                </a:solidFill>
              </a:rPr>
              <a:t>Budget</a:t>
            </a:r>
            <a:r>
              <a:rPr lang="en-IN" baseline="0">
                <a:solidFill>
                  <a:sysClr val="windowText" lastClr="000000"/>
                </a:solidFill>
              </a:rPr>
              <a:t> </a:t>
            </a:r>
            <a:r>
              <a:rPr lang="en-IN">
                <a:solidFill>
                  <a:sysClr val="windowText" lastClr="000000"/>
                </a:solidFill>
              </a:rPr>
              <a:t>Inflows Vs Budget Outflows</a:t>
            </a:r>
          </a:p>
        </c:rich>
      </c:tx>
      <c:layout>
        <c:manualLayout>
          <c:xMode val="edge"/>
          <c:yMode val="edge"/>
          <c:x val="0.34648533525933595"/>
          <c:y val="5.125690903889551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123226460491585E-2"/>
          <c:y val="0.14483299342140252"/>
          <c:w val="0.89087733915775091"/>
          <c:h val="0.640803875387894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Cashflows!$B$7</c:f>
              <c:strCache>
                <c:ptCount val="1"/>
                <c:pt idx="0">
                  <c:v>Inflows - B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numRef>
              <c:f>Cashflows!$C$4:$Q$4</c:f>
              <c:numCache>
                <c:formatCode>mmm\-yy</c:formatCode>
                <c:ptCount val="15"/>
                <c:pt idx="0">
                  <c:v>45961</c:v>
                </c:pt>
                <c:pt idx="1">
                  <c:v>45991</c:v>
                </c:pt>
                <c:pt idx="2">
                  <c:v>46022</c:v>
                </c:pt>
                <c:pt idx="3">
                  <c:v>46053</c:v>
                </c:pt>
                <c:pt idx="4">
                  <c:v>46081</c:v>
                </c:pt>
                <c:pt idx="5">
                  <c:v>46112</c:v>
                </c:pt>
                <c:pt idx="6">
                  <c:v>46142</c:v>
                </c:pt>
                <c:pt idx="7">
                  <c:v>46173</c:v>
                </c:pt>
                <c:pt idx="8">
                  <c:v>46203</c:v>
                </c:pt>
                <c:pt idx="9">
                  <c:v>46234</c:v>
                </c:pt>
                <c:pt idx="10">
                  <c:v>46265</c:v>
                </c:pt>
                <c:pt idx="11">
                  <c:v>46295</c:v>
                </c:pt>
                <c:pt idx="12">
                  <c:v>46326</c:v>
                </c:pt>
                <c:pt idx="13">
                  <c:v>46356</c:v>
                </c:pt>
                <c:pt idx="14">
                  <c:v>46387</c:v>
                </c:pt>
              </c:numCache>
            </c:numRef>
          </c:cat>
          <c:val>
            <c:numRef>
              <c:f>Cashflows!$C$7:$Q$7</c:f>
              <c:numCache>
                <c:formatCode>#,##0.0;\(#,##0.0\);\-</c:formatCode>
                <c:ptCount val="15"/>
                <c:pt idx="0">
                  <c:v>161457</c:v>
                </c:pt>
                <c:pt idx="1">
                  <c:v>164059</c:v>
                </c:pt>
                <c:pt idx="2">
                  <c:v>161113</c:v>
                </c:pt>
                <c:pt idx="3">
                  <c:v>163529</c:v>
                </c:pt>
                <c:pt idx="4">
                  <c:v>162969</c:v>
                </c:pt>
                <c:pt idx="5">
                  <c:v>162244</c:v>
                </c:pt>
                <c:pt idx="6">
                  <c:v>164668</c:v>
                </c:pt>
                <c:pt idx="7">
                  <c:v>163779</c:v>
                </c:pt>
                <c:pt idx="8">
                  <c:v>163454</c:v>
                </c:pt>
                <c:pt idx="9">
                  <c:v>170192</c:v>
                </c:pt>
                <c:pt idx="10">
                  <c:v>171629</c:v>
                </c:pt>
                <c:pt idx="11">
                  <c:v>171090</c:v>
                </c:pt>
                <c:pt idx="12">
                  <c:v>174425</c:v>
                </c:pt>
                <c:pt idx="13">
                  <c:v>171913</c:v>
                </c:pt>
                <c:pt idx="14">
                  <c:v>170109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D6-4BF7-83C5-4A74DEE3E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289248"/>
        <c:axId val="456574208"/>
      </c:barChart>
      <c:lineChart>
        <c:grouping val="standard"/>
        <c:varyColors val="0"/>
        <c:ser>
          <c:idx val="1"/>
          <c:order val="1"/>
          <c:tx>
            <c:strRef>
              <c:f>Cashflows!$B$8</c:f>
              <c:strCache>
                <c:ptCount val="1"/>
                <c:pt idx="0">
                  <c:v>Outflows - B</c:v>
                </c:pt>
              </c:strCache>
            </c:strRef>
          </c:tx>
          <c:spPr>
            <a:ln w="12700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cat>
            <c:strRef>
              <c:f>Budget!$C$4:$Q$4</c:f>
              <c:strCache>
                <c:ptCount val="15"/>
                <c:pt idx="0">
                  <c:v>Oct-25</c:v>
                </c:pt>
                <c:pt idx="1">
                  <c:v>Nov-25</c:v>
                </c:pt>
                <c:pt idx="2">
                  <c:v>Dec-25</c:v>
                </c:pt>
                <c:pt idx="3">
                  <c:v>Jan-26</c:v>
                </c:pt>
                <c:pt idx="4">
                  <c:v>Feb-26</c:v>
                </c:pt>
                <c:pt idx="5">
                  <c:v>Mar-26</c:v>
                </c:pt>
                <c:pt idx="6">
                  <c:v>Apr-26</c:v>
                </c:pt>
                <c:pt idx="7">
                  <c:v>May-26</c:v>
                </c:pt>
                <c:pt idx="8">
                  <c:v>Jun-26</c:v>
                </c:pt>
                <c:pt idx="9">
                  <c:v>Jul-26</c:v>
                </c:pt>
                <c:pt idx="10">
                  <c:v>Aug-26</c:v>
                </c:pt>
                <c:pt idx="11">
                  <c:v>Sep-26</c:v>
                </c:pt>
                <c:pt idx="12">
                  <c:v>Oct-26</c:v>
                </c:pt>
                <c:pt idx="13">
                  <c:v>Nov-26</c:v>
                </c:pt>
                <c:pt idx="14">
                  <c:v>Dec-26</c:v>
                </c:pt>
              </c:strCache>
            </c:strRef>
          </c:cat>
          <c:val>
            <c:numRef>
              <c:f>Cashflows!$C$8:$Q$8</c:f>
              <c:numCache>
                <c:formatCode>#,##0.0;\(#,##0.0\);\-</c:formatCode>
                <c:ptCount val="15"/>
                <c:pt idx="0">
                  <c:v>158995</c:v>
                </c:pt>
                <c:pt idx="1">
                  <c:v>165581</c:v>
                </c:pt>
                <c:pt idx="2">
                  <c:v>162129</c:v>
                </c:pt>
                <c:pt idx="3">
                  <c:v>170542</c:v>
                </c:pt>
                <c:pt idx="4">
                  <c:v>165108</c:v>
                </c:pt>
                <c:pt idx="5">
                  <c:v>163002</c:v>
                </c:pt>
                <c:pt idx="6">
                  <c:v>164597</c:v>
                </c:pt>
                <c:pt idx="7">
                  <c:v>166323</c:v>
                </c:pt>
                <c:pt idx="8">
                  <c:v>166443</c:v>
                </c:pt>
                <c:pt idx="9">
                  <c:v>177060</c:v>
                </c:pt>
                <c:pt idx="10">
                  <c:v>168466</c:v>
                </c:pt>
                <c:pt idx="11">
                  <c:v>172559</c:v>
                </c:pt>
                <c:pt idx="12">
                  <c:v>171165</c:v>
                </c:pt>
                <c:pt idx="13">
                  <c:v>170560</c:v>
                </c:pt>
                <c:pt idx="14">
                  <c:v>175384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1D6-4BF7-83C5-4A74DEE3E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289248"/>
        <c:axId val="456574208"/>
      </c:lineChart>
      <c:dateAx>
        <c:axId val="3242892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1560000" spcFirstLastPara="1" vertOverflow="ellipsis" wrap="square" anchor="ctr" anchorCtr="1"/>
          <a:lstStyle/>
          <a:p>
            <a:pPr algn="ctr">
              <a:defRPr lang="en-US"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74208"/>
        <c:crosses val="autoZero"/>
        <c:auto val="1"/>
        <c:lblOffset val="100"/>
        <c:baseTimeUnit val="months"/>
      </c:dateAx>
      <c:valAx>
        <c:axId val="4565742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;\(#,##0.0\);\-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2892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5721918397118985E-2"/>
          <c:y val="0.89409667541557303"/>
          <c:w val="0.87936459834595426"/>
          <c:h val="7.968805077094920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solidFill>
                  <a:sysClr val="windowText" lastClr="000000"/>
                </a:solidFill>
              </a:rPr>
              <a:t>Actual</a:t>
            </a:r>
            <a:r>
              <a:rPr lang="en-IN" baseline="0">
                <a:solidFill>
                  <a:sysClr val="windowText" lastClr="000000"/>
                </a:solidFill>
              </a:rPr>
              <a:t> </a:t>
            </a:r>
            <a:r>
              <a:rPr lang="en-IN">
                <a:solidFill>
                  <a:sysClr val="windowText" lastClr="000000"/>
                </a:solidFill>
              </a:rPr>
              <a:t>Inflows Vs Actual Outflows</a:t>
            </a:r>
          </a:p>
        </c:rich>
      </c:tx>
      <c:layout>
        <c:manualLayout>
          <c:xMode val="edge"/>
          <c:yMode val="edge"/>
          <c:x val="0.36360281498194685"/>
          <c:y val="4.16667969724850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Cashflows!$B$15</c:f>
              <c:strCache>
                <c:ptCount val="1"/>
                <c:pt idx="0">
                  <c:v>Inflows - 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numRef>
              <c:f>Cashflows!$C$12:$Q$12</c:f>
              <c:numCache>
                <c:formatCode>mmm\-yy</c:formatCode>
                <c:ptCount val="15"/>
                <c:pt idx="0">
                  <c:v>45961</c:v>
                </c:pt>
                <c:pt idx="1">
                  <c:v>45991</c:v>
                </c:pt>
                <c:pt idx="2">
                  <c:v>46022</c:v>
                </c:pt>
                <c:pt idx="3">
                  <c:v>46053</c:v>
                </c:pt>
                <c:pt idx="4">
                  <c:v>46081</c:v>
                </c:pt>
                <c:pt idx="5">
                  <c:v>46112</c:v>
                </c:pt>
                <c:pt idx="6">
                  <c:v>46142</c:v>
                </c:pt>
                <c:pt idx="7">
                  <c:v>46173</c:v>
                </c:pt>
                <c:pt idx="8">
                  <c:v>46203</c:v>
                </c:pt>
                <c:pt idx="9">
                  <c:v>46234</c:v>
                </c:pt>
                <c:pt idx="10">
                  <c:v>46265</c:v>
                </c:pt>
                <c:pt idx="11">
                  <c:v>46295</c:v>
                </c:pt>
                <c:pt idx="12">
                  <c:v>46326</c:v>
                </c:pt>
                <c:pt idx="13">
                  <c:v>46356</c:v>
                </c:pt>
                <c:pt idx="14">
                  <c:v>46387</c:v>
                </c:pt>
              </c:numCache>
            </c:numRef>
          </c:cat>
          <c:val>
            <c:numRef>
              <c:f>Cashflows!$C$15:$Q$15</c:f>
              <c:numCache>
                <c:formatCode>#,##0.0;\(#,##0.0\);\-</c:formatCode>
                <c:ptCount val="15"/>
                <c:pt idx="0">
                  <c:v>180435</c:v>
                </c:pt>
                <c:pt idx="1">
                  <c:v>163435</c:v>
                </c:pt>
                <c:pt idx="2">
                  <c:v>163435</c:v>
                </c:pt>
                <c:pt idx="3">
                  <c:v>168435</c:v>
                </c:pt>
                <c:pt idx="4">
                  <c:v>163435</c:v>
                </c:pt>
                <c:pt idx="5">
                  <c:v>168435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88-44BE-B74C-61E828ABD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289248"/>
        <c:axId val="456574208"/>
      </c:barChart>
      <c:lineChart>
        <c:grouping val="standard"/>
        <c:varyColors val="0"/>
        <c:ser>
          <c:idx val="1"/>
          <c:order val="1"/>
          <c:tx>
            <c:strRef>
              <c:f>Cashflows!$B$16</c:f>
              <c:strCache>
                <c:ptCount val="1"/>
                <c:pt idx="0">
                  <c:v>Outflows - A</c:v>
                </c:pt>
              </c:strCache>
            </c:strRef>
          </c:tx>
          <c:spPr>
            <a:ln w="12700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Cashflows!$C$12:$Q$12</c:f>
              <c:numCache>
                <c:formatCode>mmm\-yy</c:formatCode>
                <c:ptCount val="15"/>
                <c:pt idx="0">
                  <c:v>45961</c:v>
                </c:pt>
                <c:pt idx="1">
                  <c:v>45991</c:v>
                </c:pt>
                <c:pt idx="2">
                  <c:v>46022</c:v>
                </c:pt>
                <c:pt idx="3">
                  <c:v>46053</c:v>
                </c:pt>
                <c:pt idx="4">
                  <c:v>46081</c:v>
                </c:pt>
                <c:pt idx="5">
                  <c:v>46112</c:v>
                </c:pt>
                <c:pt idx="6">
                  <c:v>46142</c:v>
                </c:pt>
                <c:pt idx="7">
                  <c:v>46173</c:v>
                </c:pt>
                <c:pt idx="8">
                  <c:v>46203</c:v>
                </c:pt>
                <c:pt idx="9">
                  <c:v>46234</c:v>
                </c:pt>
                <c:pt idx="10">
                  <c:v>46265</c:v>
                </c:pt>
                <c:pt idx="11">
                  <c:v>46295</c:v>
                </c:pt>
                <c:pt idx="12">
                  <c:v>46326</c:v>
                </c:pt>
                <c:pt idx="13">
                  <c:v>46356</c:v>
                </c:pt>
                <c:pt idx="14">
                  <c:v>46387</c:v>
                </c:pt>
              </c:numCache>
            </c:numRef>
          </c:cat>
          <c:val>
            <c:numRef>
              <c:f>Cashflows!$C$16:$Q$16</c:f>
              <c:numCache>
                <c:formatCode>#,##0.0;\(#,##0.0\);\-</c:formatCode>
                <c:ptCount val="15"/>
                <c:pt idx="0">
                  <c:v>137719</c:v>
                </c:pt>
                <c:pt idx="1">
                  <c:v>151719</c:v>
                </c:pt>
                <c:pt idx="2">
                  <c:v>161719</c:v>
                </c:pt>
                <c:pt idx="3">
                  <c:v>161719</c:v>
                </c:pt>
                <c:pt idx="4">
                  <c:v>161719</c:v>
                </c:pt>
                <c:pt idx="5">
                  <c:v>166719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FB88-44BE-B74C-61E828ABDC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289248"/>
        <c:axId val="456574208"/>
      </c:lineChart>
      <c:dateAx>
        <c:axId val="32428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74208"/>
        <c:crosses val="autoZero"/>
        <c:auto val="1"/>
        <c:lblOffset val="100"/>
        <c:baseTimeUnit val="months"/>
      </c:dateAx>
      <c:valAx>
        <c:axId val="456574208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;\(#,##0.0\);\-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2892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0366611935197968E-2"/>
          <c:y val="0.89409667541557303"/>
          <c:w val="0.90287390716291427"/>
          <c:h val="7.66309746265422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solidFill>
                  <a:sysClr val="windowText" lastClr="000000"/>
                </a:solidFill>
              </a:rPr>
              <a:t>Actual Outflows Vs Budget Outflows</a:t>
            </a:r>
          </a:p>
        </c:rich>
      </c:tx>
      <c:layout>
        <c:manualLayout>
          <c:xMode val="edge"/>
          <c:yMode val="edge"/>
          <c:x val="0.34433056882568303"/>
          <c:y val="3.87627094454623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Cashflows!$B$8</c:f>
              <c:strCache>
                <c:ptCount val="1"/>
                <c:pt idx="0">
                  <c:v>Outflows - B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Budget!$C$4:$Q$4</c:f>
              <c:strCache>
                <c:ptCount val="15"/>
                <c:pt idx="0">
                  <c:v>Oct-25</c:v>
                </c:pt>
                <c:pt idx="1">
                  <c:v>Nov-25</c:v>
                </c:pt>
                <c:pt idx="2">
                  <c:v>Dec-25</c:v>
                </c:pt>
                <c:pt idx="3">
                  <c:v>Jan-26</c:v>
                </c:pt>
                <c:pt idx="4">
                  <c:v>Feb-26</c:v>
                </c:pt>
                <c:pt idx="5">
                  <c:v>Mar-26</c:v>
                </c:pt>
                <c:pt idx="6">
                  <c:v>Apr-26</c:v>
                </c:pt>
                <c:pt idx="7">
                  <c:v>May-26</c:v>
                </c:pt>
                <c:pt idx="8">
                  <c:v>Jun-26</c:v>
                </c:pt>
                <c:pt idx="9">
                  <c:v>Jul-26</c:v>
                </c:pt>
                <c:pt idx="10">
                  <c:v>Aug-26</c:v>
                </c:pt>
                <c:pt idx="11">
                  <c:v>Sep-26</c:v>
                </c:pt>
                <c:pt idx="12">
                  <c:v>Oct-26</c:v>
                </c:pt>
                <c:pt idx="13">
                  <c:v>Nov-26</c:v>
                </c:pt>
                <c:pt idx="14">
                  <c:v>Dec-26</c:v>
                </c:pt>
              </c:strCache>
            </c:strRef>
          </c:cat>
          <c:val>
            <c:numRef>
              <c:f>Cashflows!$C$8:$Q$8</c:f>
              <c:numCache>
                <c:formatCode>#,##0.0;\(#,##0.0\);\-</c:formatCode>
                <c:ptCount val="15"/>
                <c:pt idx="0">
                  <c:v>158995</c:v>
                </c:pt>
                <c:pt idx="1">
                  <c:v>165581</c:v>
                </c:pt>
                <c:pt idx="2">
                  <c:v>162129</c:v>
                </c:pt>
                <c:pt idx="3">
                  <c:v>170542</c:v>
                </c:pt>
                <c:pt idx="4">
                  <c:v>165108</c:v>
                </c:pt>
                <c:pt idx="5">
                  <c:v>163002</c:v>
                </c:pt>
                <c:pt idx="6">
                  <c:v>164597</c:v>
                </c:pt>
                <c:pt idx="7">
                  <c:v>166323</c:v>
                </c:pt>
                <c:pt idx="8">
                  <c:v>166443</c:v>
                </c:pt>
                <c:pt idx="9">
                  <c:v>177060</c:v>
                </c:pt>
                <c:pt idx="10">
                  <c:v>168466</c:v>
                </c:pt>
                <c:pt idx="11">
                  <c:v>172559</c:v>
                </c:pt>
                <c:pt idx="12">
                  <c:v>171165</c:v>
                </c:pt>
                <c:pt idx="13">
                  <c:v>170560</c:v>
                </c:pt>
                <c:pt idx="14">
                  <c:v>175384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CC-472B-8A3F-59C87A2E8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289248"/>
        <c:axId val="456574208"/>
      </c:barChart>
      <c:lineChart>
        <c:grouping val="standard"/>
        <c:varyColors val="0"/>
        <c:ser>
          <c:idx val="1"/>
          <c:order val="1"/>
          <c:tx>
            <c:strRef>
              <c:f>Cashflows!$B$16</c:f>
              <c:strCache>
                <c:ptCount val="1"/>
                <c:pt idx="0">
                  <c:v>Outflows - A</c:v>
                </c:pt>
              </c:strCache>
            </c:strRef>
          </c:tx>
          <c:spPr>
            <a:ln w="12700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Actual!$C$4:$Q$4</c:f>
              <c:strCache>
                <c:ptCount val="15"/>
                <c:pt idx="0">
                  <c:v>Oct-25</c:v>
                </c:pt>
                <c:pt idx="1">
                  <c:v>Nov-25</c:v>
                </c:pt>
                <c:pt idx="2">
                  <c:v>Dec-25</c:v>
                </c:pt>
                <c:pt idx="3">
                  <c:v>Jan-26</c:v>
                </c:pt>
                <c:pt idx="4">
                  <c:v>Feb-26</c:v>
                </c:pt>
                <c:pt idx="5">
                  <c:v>Mar-26</c:v>
                </c:pt>
                <c:pt idx="6">
                  <c:v>Apr-26</c:v>
                </c:pt>
                <c:pt idx="7">
                  <c:v>May-26</c:v>
                </c:pt>
                <c:pt idx="8">
                  <c:v>Jun-26</c:v>
                </c:pt>
                <c:pt idx="9">
                  <c:v>Jul-26</c:v>
                </c:pt>
                <c:pt idx="10">
                  <c:v>Aug-26</c:v>
                </c:pt>
                <c:pt idx="11">
                  <c:v>Sep-26</c:v>
                </c:pt>
                <c:pt idx="12">
                  <c:v>Oct-26</c:v>
                </c:pt>
                <c:pt idx="13">
                  <c:v>Nov-26</c:v>
                </c:pt>
                <c:pt idx="14">
                  <c:v>Dec-26</c:v>
                </c:pt>
              </c:strCache>
            </c:strRef>
          </c:cat>
          <c:val>
            <c:numRef>
              <c:f>Cashflows!$C$16:$Q$16</c:f>
              <c:numCache>
                <c:formatCode>#,##0.0;\(#,##0.0\);\-</c:formatCode>
                <c:ptCount val="15"/>
                <c:pt idx="0">
                  <c:v>137719</c:v>
                </c:pt>
                <c:pt idx="1">
                  <c:v>151719</c:v>
                </c:pt>
                <c:pt idx="2">
                  <c:v>161719</c:v>
                </c:pt>
                <c:pt idx="3">
                  <c:v>161719</c:v>
                </c:pt>
                <c:pt idx="4">
                  <c:v>161719</c:v>
                </c:pt>
                <c:pt idx="5">
                  <c:v>166719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4CC-472B-8A3F-59C87A2E8F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289248"/>
        <c:axId val="456574208"/>
      </c:lineChart>
      <c:catAx>
        <c:axId val="324289248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74208"/>
        <c:crosses val="autoZero"/>
        <c:auto val="1"/>
        <c:lblAlgn val="ctr"/>
        <c:lblOffset val="10"/>
        <c:noMultiLvlLbl val="1"/>
      </c:catAx>
      <c:valAx>
        <c:axId val="4565742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;\(#,##0.0\);\-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2892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7972668056012654E-2"/>
          <c:y val="0.89409667541557303"/>
          <c:w val="0.92900621542906603"/>
          <c:h val="7.663097462654226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IN">
                <a:solidFill>
                  <a:sysClr val="windowText" lastClr="000000"/>
                </a:solidFill>
              </a:rPr>
              <a:t>Actual Inflows Vs Budget Inflows</a:t>
            </a:r>
          </a:p>
        </c:rich>
      </c:tx>
      <c:layout>
        <c:manualLayout>
          <c:xMode val="edge"/>
          <c:yMode val="edge"/>
          <c:x val="0.36215078980352089"/>
          <c:y val="3.288072469744274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547163301758655E-2"/>
          <c:y val="0.18039487508965288"/>
          <c:w val="0.88389735392892865"/>
          <c:h val="0.633215517636355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Cashflows!$B$7</c:f>
              <c:strCache>
                <c:ptCount val="1"/>
                <c:pt idx="0">
                  <c:v>Inflows - B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numRef>
              <c:f>Cashflows!$C$4:$Q$4</c:f>
              <c:numCache>
                <c:formatCode>mmm\-yy</c:formatCode>
                <c:ptCount val="15"/>
                <c:pt idx="0">
                  <c:v>45961</c:v>
                </c:pt>
                <c:pt idx="1">
                  <c:v>45991</c:v>
                </c:pt>
                <c:pt idx="2">
                  <c:v>46022</c:v>
                </c:pt>
                <c:pt idx="3">
                  <c:v>46053</c:v>
                </c:pt>
                <c:pt idx="4">
                  <c:v>46081</c:v>
                </c:pt>
                <c:pt idx="5">
                  <c:v>46112</c:v>
                </c:pt>
                <c:pt idx="6">
                  <c:v>46142</c:v>
                </c:pt>
                <c:pt idx="7">
                  <c:v>46173</c:v>
                </c:pt>
                <c:pt idx="8">
                  <c:v>46203</c:v>
                </c:pt>
                <c:pt idx="9">
                  <c:v>46234</c:v>
                </c:pt>
                <c:pt idx="10">
                  <c:v>46265</c:v>
                </c:pt>
                <c:pt idx="11">
                  <c:v>46295</c:v>
                </c:pt>
                <c:pt idx="12">
                  <c:v>46326</c:v>
                </c:pt>
                <c:pt idx="13">
                  <c:v>46356</c:v>
                </c:pt>
                <c:pt idx="14">
                  <c:v>46387</c:v>
                </c:pt>
              </c:numCache>
            </c:numRef>
          </c:cat>
          <c:val>
            <c:numRef>
              <c:f>Cashflows!$C$7:$Q$7</c:f>
              <c:numCache>
                <c:formatCode>#,##0.0;\(#,##0.0\);\-</c:formatCode>
                <c:ptCount val="15"/>
                <c:pt idx="0">
                  <c:v>161457</c:v>
                </c:pt>
                <c:pt idx="1">
                  <c:v>164059</c:v>
                </c:pt>
                <c:pt idx="2">
                  <c:v>161113</c:v>
                </c:pt>
                <c:pt idx="3">
                  <c:v>163529</c:v>
                </c:pt>
                <c:pt idx="4">
                  <c:v>162969</c:v>
                </c:pt>
                <c:pt idx="5">
                  <c:v>162244</c:v>
                </c:pt>
                <c:pt idx="6">
                  <c:v>164668</c:v>
                </c:pt>
                <c:pt idx="7">
                  <c:v>163779</c:v>
                </c:pt>
                <c:pt idx="8">
                  <c:v>163454</c:v>
                </c:pt>
                <c:pt idx="9">
                  <c:v>170192</c:v>
                </c:pt>
                <c:pt idx="10">
                  <c:v>171629</c:v>
                </c:pt>
                <c:pt idx="11">
                  <c:v>171090</c:v>
                </c:pt>
                <c:pt idx="12">
                  <c:v>174425</c:v>
                </c:pt>
                <c:pt idx="13">
                  <c:v>171913</c:v>
                </c:pt>
                <c:pt idx="14">
                  <c:v>170109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53-43C0-B59C-8A3593C6B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4289248"/>
        <c:axId val="456574208"/>
      </c:barChart>
      <c:lineChart>
        <c:grouping val="standard"/>
        <c:varyColors val="0"/>
        <c:ser>
          <c:idx val="1"/>
          <c:order val="1"/>
          <c:tx>
            <c:strRef>
              <c:f>Cashflows!$B$15</c:f>
              <c:strCache>
                <c:ptCount val="1"/>
                <c:pt idx="0">
                  <c:v>Inflows - A</c:v>
                </c:pt>
              </c:strCache>
            </c:strRef>
          </c:tx>
          <c:spPr>
            <a:ln w="127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Cashflows!$C$4:$Q$4</c:f>
              <c:numCache>
                <c:formatCode>mmm\-yy</c:formatCode>
                <c:ptCount val="15"/>
                <c:pt idx="0">
                  <c:v>45961</c:v>
                </c:pt>
                <c:pt idx="1">
                  <c:v>45991</c:v>
                </c:pt>
                <c:pt idx="2">
                  <c:v>46022</c:v>
                </c:pt>
                <c:pt idx="3">
                  <c:v>46053</c:v>
                </c:pt>
                <c:pt idx="4">
                  <c:v>46081</c:v>
                </c:pt>
                <c:pt idx="5">
                  <c:v>46112</c:v>
                </c:pt>
                <c:pt idx="6">
                  <c:v>46142</c:v>
                </c:pt>
                <c:pt idx="7">
                  <c:v>46173</c:v>
                </c:pt>
                <c:pt idx="8">
                  <c:v>46203</c:v>
                </c:pt>
                <c:pt idx="9">
                  <c:v>46234</c:v>
                </c:pt>
                <c:pt idx="10">
                  <c:v>46265</c:v>
                </c:pt>
                <c:pt idx="11">
                  <c:v>46295</c:v>
                </c:pt>
                <c:pt idx="12">
                  <c:v>46326</c:v>
                </c:pt>
                <c:pt idx="13">
                  <c:v>46356</c:v>
                </c:pt>
                <c:pt idx="14">
                  <c:v>46387</c:v>
                </c:pt>
              </c:numCache>
            </c:numRef>
          </c:cat>
          <c:val>
            <c:numRef>
              <c:f>Cashflows!$C$15:$Q$15</c:f>
              <c:numCache>
                <c:formatCode>#,##0.0;\(#,##0.0\);\-</c:formatCode>
                <c:ptCount val="15"/>
                <c:pt idx="0">
                  <c:v>180435</c:v>
                </c:pt>
                <c:pt idx="1">
                  <c:v>163435</c:v>
                </c:pt>
                <c:pt idx="2">
                  <c:v>163435</c:v>
                </c:pt>
                <c:pt idx="3">
                  <c:v>168435</c:v>
                </c:pt>
                <c:pt idx="4">
                  <c:v>163435</c:v>
                </c:pt>
                <c:pt idx="5">
                  <c:v>168435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E053-43C0-B59C-8A3593C6B5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4289248"/>
        <c:axId val="456574208"/>
      </c:lineChart>
      <c:dateAx>
        <c:axId val="3242892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6574208"/>
        <c:crosses val="autoZero"/>
        <c:auto val="1"/>
        <c:lblOffset val="100"/>
        <c:baseTimeUnit val="months"/>
      </c:dateAx>
      <c:valAx>
        <c:axId val="456574208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;\(#,##0.0\);\-" sourceLinked="1"/>
        <c:majorTickMark val="none"/>
        <c:minorTickMark val="none"/>
        <c:tickLblPos val="nextTo"/>
        <c:spPr>
          <a:noFill/>
          <a:ln>
            <a:solidFill>
              <a:schemeClr val="tx2">
                <a:lumMod val="40000"/>
                <a:lumOff val="6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42892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5986566571025539E-2"/>
          <c:y val="0.9065656069799255"/>
          <c:w val="0.92766841644794396"/>
          <c:h val="7.894792098356127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60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IN" sz="6000" b="1">
                <a:solidFill>
                  <a:schemeClr val="tx1"/>
                </a:solidFill>
              </a:rPr>
              <a:t>Actual Vs</a:t>
            </a:r>
            <a:r>
              <a:rPr lang="en-IN" sz="6000" b="1" baseline="0">
                <a:solidFill>
                  <a:schemeClr val="tx1"/>
                </a:solidFill>
              </a:rPr>
              <a:t> Budgeted </a:t>
            </a:r>
            <a:r>
              <a:rPr lang="en-IN" sz="6000" b="1">
                <a:solidFill>
                  <a:schemeClr val="tx1"/>
                </a:solidFill>
              </a:rPr>
              <a:t>Cashflows</a:t>
            </a:r>
          </a:p>
        </c:rich>
      </c:tx>
      <c:layout>
        <c:manualLayout>
          <c:xMode val="edge"/>
          <c:yMode val="edge"/>
          <c:x val="0.3679500685281234"/>
          <c:y val="3.7204152933914728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848646236585582E-2"/>
          <c:y val="5.1178938907096599E-2"/>
          <c:w val="0.91430270752682885"/>
          <c:h val="0.81779789167856987"/>
        </c:manualLayout>
      </c:layout>
      <c:areaChart>
        <c:grouping val="stacked"/>
        <c:varyColors val="0"/>
        <c:ser>
          <c:idx val="1"/>
          <c:order val="1"/>
          <c:tx>
            <c:strRef>
              <c:f>Cashflows!$B$8</c:f>
              <c:strCache>
                <c:ptCount val="1"/>
                <c:pt idx="0">
                  <c:v>Outflows - B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>
              <a:outerShdw blurRad="50800" dist="50800" dir="5400000" algn="ctr" rotWithShape="0">
                <a:schemeClr val="bg2">
                  <a:lumMod val="75000"/>
                </a:schemeClr>
              </a:outerShdw>
            </a:effectLst>
          </c:spPr>
          <c:cat>
            <c:strRef>
              <c:f>Actual!$C$4:$Q$4</c:f>
              <c:strCache>
                <c:ptCount val="15"/>
                <c:pt idx="0">
                  <c:v>Oct-25</c:v>
                </c:pt>
                <c:pt idx="1">
                  <c:v>Nov-25</c:v>
                </c:pt>
                <c:pt idx="2">
                  <c:v>Dec-25</c:v>
                </c:pt>
                <c:pt idx="3">
                  <c:v>Jan-26</c:v>
                </c:pt>
                <c:pt idx="4">
                  <c:v>Feb-26</c:v>
                </c:pt>
                <c:pt idx="5">
                  <c:v>Mar-26</c:v>
                </c:pt>
                <c:pt idx="6">
                  <c:v>Apr-26</c:v>
                </c:pt>
                <c:pt idx="7">
                  <c:v>May-26</c:v>
                </c:pt>
                <c:pt idx="8">
                  <c:v>Jun-26</c:v>
                </c:pt>
                <c:pt idx="9">
                  <c:v>Jul-26</c:v>
                </c:pt>
                <c:pt idx="10">
                  <c:v>Aug-26</c:v>
                </c:pt>
                <c:pt idx="11">
                  <c:v>Sep-26</c:v>
                </c:pt>
                <c:pt idx="12">
                  <c:v>Oct-26</c:v>
                </c:pt>
                <c:pt idx="13">
                  <c:v>Nov-26</c:v>
                </c:pt>
                <c:pt idx="14">
                  <c:v>Dec-26</c:v>
                </c:pt>
              </c:strCache>
            </c:strRef>
          </c:cat>
          <c:val>
            <c:numRef>
              <c:f>Cashflows!$C$8:$Q$8</c:f>
              <c:numCache>
                <c:formatCode>#,##0.0;\(#,##0.0\);\-</c:formatCode>
                <c:ptCount val="15"/>
                <c:pt idx="0">
                  <c:v>158995</c:v>
                </c:pt>
                <c:pt idx="1">
                  <c:v>165581</c:v>
                </c:pt>
                <c:pt idx="2">
                  <c:v>162129</c:v>
                </c:pt>
                <c:pt idx="3">
                  <c:v>170542</c:v>
                </c:pt>
                <c:pt idx="4">
                  <c:v>165108</c:v>
                </c:pt>
                <c:pt idx="5">
                  <c:v>163002</c:v>
                </c:pt>
                <c:pt idx="6">
                  <c:v>164597</c:v>
                </c:pt>
                <c:pt idx="7">
                  <c:v>166323</c:v>
                </c:pt>
                <c:pt idx="8">
                  <c:v>166443</c:v>
                </c:pt>
                <c:pt idx="9">
                  <c:v>177060</c:v>
                </c:pt>
                <c:pt idx="10">
                  <c:v>168466</c:v>
                </c:pt>
                <c:pt idx="11">
                  <c:v>172559</c:v>
                </c:pt>
                <c:pt idx="12">
                  <c:v>171165</c:v>
                </c:pt>
                <c:pt idx="13">
                  <c:v>170560</c:v>
                </c:pt>
                <c:pt idx="14">
                  <c:v>175384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2F-4E41-9F6F-3C0EF534E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7491176"/>
        <c:axId val="657491896"/>
      </c:areaChart>
      <c:areaChart>
        <c:grouping val="stacked"/>
        <c:varyColors val="0"/>
        <c:ser>
          <c:idx val="3"/>
          <c:order val="3"/>
          <c:tx>
            <c:strRef>
              <c:f>Cashflows!$B$16</c:f>
              <c:strCache>
                <c:ptCount val="1"/>
                <c:pt idx="0">
                  <c:v>Outflows - A</c:v>
                </c:pt>
              </c:strCache>
            </c:strRef>
          </c:tx>
          <c:spPr>
            <a:solidFill>
              <a:schemeClr val="accent6"/>
            </a:solidFill>
            <a:ln>
              <a:gradFill>
                <a:gsLst>
                  <a:gs pos="5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</a:ln>
            <a:effectLst/>
          </c:spPr>
          <c:cat>
            <c:numRef>
              <c:f>Cashflows!$C$12:$Q$12</c:f>
              <c:numCache>
                <c:formatCode>mmm\-yy</c:formatCode>
                <c:ptCount val="15"/>
                <c:pt idx="0">
                  <c:v>45961</c:v>
                </c:pt>
                <c:pt idx="1">
                  <c:v>45991</c:v>
                </c:pt>
                <c:pt idx="2">
                  <c:v>46022</c:v>
                </c:pt>
                <c:pt idx="3">
                  <c:v>46053</c:v>
                </c:pt>
                <c:pt idx="4">
                  <c:v>46081</c:v>
                </c:pt>
                <c:pt idx="5">
                  <c:v>46112</c:v>
                </c:pt>
                <c:pt idx="6">
                  <c:v>46142</c:v>
                </c:pt>
                <c:pt idx="7">
                  <c:v>46173</c:v>
                </c:pt>
                <c:pt idx="8">
                  <c:v>46203</c:v>
                </c:pt>
                <c:pt idx="9">
                  <c:v>46234</c:v>
                </c:pt>
                <c:pt idx="10">
                  <c:v>46265</c:v>
                </c:pt>
                <c:pt idx="11">
                  <c:v>46295</c:v>
                </c:pt>
                <c:pt idx="12">
                  <c:v>46326</c:v>
                </c:pt>
                <c:pt idx="13">
                  <c:v>46356</c:v>
                </c:pt>
                <c:pt idx="14">
                  <c:v>46387</c:v>
                </c:pt>
              </c:numCache>
            </c:numRef>
          </c:cat>
          <c:val>
            <c:numRef>
              <c:f>Cashflows!$C$16:$Q$16</c:f>
              <c:numCache>
                <c:formatCode>#,##0.0;\(#,##0.0\);\-</c:formatCode>
                <c:ptCount val="15"/>
                <c:pt idx="0">
                  <c:v>137719</c:v>
                </c:pt>
                <c:pt idx="1">
                  <c:v>151719</c:v>
                </c:pt>
                <c:pt idx="2">
                  <c:v>161719</c:v>
                </c:pt>
                <c:pt idx="3">
                  <c:v>161719</c:v>
                </c:pt>
                <c:pt idx="4">
                  <c:v>161719</c:v>
                </c:pt>
                <c:pt idx="5">
                  <c:v>166719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42F-4E41-9F6F-3C0EF534E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5159616"/>
        <c:axId val="765159256"/>
      </c:areaChart>
      <c:barChart>
        <c:barDir val="col"/>
        <c:grouping val="clustered"/>
        <c:varyColors val="0"/>
        <c:ser>
          <c:idx val="0"/>
          <c:order val="0"/>
          <c:tx>
            <c:strRef>
              <c:f>Cashflows!$B$7</c:f>
              <c:strCache>
                <c:ptCount val="1"/>
                <c:pt idx="0">
                  <c:v>Inflows - B</c:v>
                </c:pt>
              </c:strCache>
            </c:strRef>
          </c:tx>
          <c:spPr>
            <a:solidFill>
              <a:schemeClr val="accent1"/>
            </a:solidFill>
            <a:ln cap="flat">
              <a:solidFill>
                <a:schemeClr val="accent6">
                  <a:lumMod val="50000"/>
                </a:schemeClr>
              </a:solidFill>
            </a:ln>
            <a:effectLst/>
          </c:spPr>
          <c:invertIfNegative val="0"/>
          <c:dPt>
            <c:idx val="13"/>
            <c:invertIfNegative val="0"/>
            <c:bubble3D val="0"/>
            <c:spPr>
              <a:solidFill>
                <a:schemeClr val="accent1"/>
              </a:solidFill>
              <a:ln w="28575" cap="flat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042F-4E41-9F6F-3C0EF534E0E7}"/>
              </c:ext>
            </c:extLst>
          </c:dPt>
          <c:cat>
            <c:numRef>
              <c:f>Cashflows!$C$4:$Q$4</c:f>
              <c:numCache>
                <c:formatCode>mmm\-yy</c:formatCode>
                <c:ptCount val="15"/>
                <c:pt idx="0">
                  <c:v>45961</c:v>
                </c:pt>
                <c:pt idx="1">
                  <c:v>45991</c:v>
                </c:pt>
                <c:pt idx="2">
                  <c:v>46022</c:v>
                </c:pt>
                <c:pt idx="3">
                  <c:v>46053</c:v>
                </c:pt>
                <c:pt idx="4">
                  <c:v>46081</c:v>
                </c:pt>
                <c:pt idx="5">
                  <c:v>46112</c:v>
                </c:pt>
                <c:pt idx="6">
                  <c:v>46142</c:v>
                </c:pt>
                <c:pt idx="7">
                  <c:v>46173</c:v>
                </c:pt>
                <c:pt idx="8">
                  <c:v>46203</c:v>
                </c:pt>
                <c:pt idx="9">
                  <c:v>46234</c:v>
                </c:pt>
                <c:pt idx="10">
                  <c:v>46265</c:v>
                </c:pt>
                <c:pt idx="11">
                  <c:v>46295</c:v>
                </c:pt>
                <c:pt idx="12">
                  <c:v>46326</c:v>
                </c:pt>
                <c:pt idx="13">
                  <c:v>46356</c:v>
                </c:pt>
                <c:pt idx="14">
                  <c:v>46387</c:v>
                </c:pt>
              </c:numCache>
            </c:numRef>
          </c:cat>
          <c:val>
            <c:numRef>
              <c:f>Cashflows!$C$7:$Q$7</c:f>
              <c:numCache>
                <c:formatCode>#,##0.0;\(#,##0.0\);\-</c:formatCode>
                <c:ptCount val="15"/>
                <c:pt idx="0">
                  <c:v>161457</c:v>
                </c:pt>
                <c:pt idx="1">
                  <c:v>164059</c:v>
                </c:pt>
                <c:pt idx="2">
                  <c:v>161113</c:v>
                </c:pt>
                <c:pt idx="3">
                  <c:v>163529</c:v>
                </c:pt>
                <c:pt idx="4">
                  <c:v>162969</c:v>
                </c:pt>
                <c:pt idx="5">
                  <c:v>162244</c:v>
                </c:pt>
                <c:pt idx="6">
                  <c:v>164668</c:v>
                </c:pt>
                <c:pt idx="7">
                  <c:v>163779</c:v>
                </c:pt>
                <c:pt idx="8">
                  <c:v>163454</c:v>
                </c:pt>
                <c:pt idx="9">
                  <c:v>170192</c:v>
                </c:pt>
                <c:pt idx="10">
                  <c:v>171629</c:v>
                </c:pt>
                <c:pt idx="11">
                  <c:v>171090</c:v>
                </c:pt>
                <c:pt idx="12">
                  <c:v>174425</c:v>
                </c:pt>
                <c:pt idx="13">
                  <c:v>171913</c:v>
                </c:pt>
                <c:pt idx="14">
                  <c:v>170109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42F-4E41-9F6F-3C0EF534E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57491176"/>
        <c:axId val="657491896"/>
      </c:barChart>
      <c:scatterChart>
        <c:scatterStyle val="smoothMarker"/>
        <c:varyColors val="0"/>
        <c:ser>
          <c:idx val="2"/>
          <c:order val="2"/>
          <c:tx>
            <c:strRef>
              <c:f>Cashflows!$B$15</c:f>
              <c:strCache>
                <c:ptCount val="1"/>
                <c:pt idx="0">
                  <c:v>Inflows - A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Cashflows!$C$12:$Q$12</c:f>
              <c:numCache>
                <c:formatCode>mmm\-yy</c:formatCode>
                <c:ptCount val="15"/>
                <c:pt idx="0">
                  <c:v>45961</c:v>
                </c:pt>
                <c:pt idx="1">
                  <c:v>45991</c:v>
                </c:pt>
                <c:pt idx="2">
                  <c:v>46022</c:v>
                </c:pt>
                <c:pt idx="3">
                  <c:v>46053</c:v>
                </c:pt>
                <c:pt idx="4">
                  <c:v>46081</c:v>
                </c:pt>
                <c:pt idx="5">
                  <c:v>46112</c:v>
                </c:pt>
                <c:pt idx="6">
                  <c:v>46142</c:v>
                </c:pt>
                <c:pt idx="7">
                  <c:v>46173</c:v>
                </c:pt>
                <c:pt idx="8">
                  <c:v>46203</c:v>
                </c:pt>
                <c:pt idx="9">
                  <c:v>46234</c:v>
                </c:pt>
                <c:pt idx="10">
                  <c:v>46265</c:v>
                </c:pt>
                <c:pt idx="11">
                  <c:v>46295</c:v>
                </c:pt>
                <c:pt idx="12">
                  <c:v>46326</c:v>
                </c:pt>
                <c:pt idx="13">
                  <c:v>46356</c:v>
                </c:pt>
                <c:pt idx="14">
                  <c:v>46387</c:v>
                </c:pt>
              </c:numCache>
            </c:numRef>
          </c:xVal>
          <c:yVal>
            <c:numRef>
              <c:f>Cashflows!$C$15:$Q$15</c:f>
              <c:numCache>
                <c:formatCode>#,##0.0;\(#,##0.0\);\-</c:formatCode>
                <c:ptCount val="15"/>
                <c:pt idx="0">
                  <c:v>180435</c:v>
                </c:pt>
                <c:pt idx="1">
                  <c:v>163435</c:v>
                </c:pt>
                <c:pt idx="2">
                  <c:v>163435</c:v>
                </c:pt>
                <c:pt idx="3">
                  <c:v>168435</c:v>
                </c:pt>
                <c:pt idx="4">
                  <c:v>163435</c:v>
                </c:pt>
                <c:pt idx="5">
                  <c:v>168435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42F-4E41-9F6F-3C0EF534E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7491176"/>
        <c:axId val="657491896"/>
      </c:scatterChart>
      <c:dateAx>
        <c:axId val="657491176"/>
        <c:scaling>
          <c:orientation val="minMax"/>
          <c:min val="45931"/>
        </c:scaling>
        <c:delete val="0"/>
        <c:axPos val="b"/>
        <c:numFmt formatCode="mmm\-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491896"/>
        <c:crosses val="autoZero"/>
        <c:auto val="0"/>
        <c:lblOffset val="100"/>
        <c:baseTimeUnit val="months"/>
      </c:dateAx>
      <c:valAx>
        <c:axId val="657491896"/>
        <c:scaling>
          <c:orientation val="minMax"/>
          <c:max val="300000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;\(#,##0.0\);\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491176"/>
        <c:crosses val="autoZero"/>
        <c:crossBetween val="between"/>
      </c:valAx>
      <c:valAx>
        <c:axId val="765159256"/>
        <c:scaling>
          <c:orientation val="minMax"/>
          <c:max val="300000"/>
        </c:scaling>
        <c:delete val="0"/>
        <c:axPos val="r"/>
        <c:numFmt formatCode="#,##0.0;\(#,##0.0\);\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6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159616"/>
        <c:crosses val="max"/>
        <c:crossBetween val="between"/>
        <c:majorUnit val="50000"/>
      </c:valAx>
      <c:dateAx>
        <c:axId val="765159616"/>
        <c:scaling>
          <c:orientation val="minMax"/>
        </c:scaling>
        <c:delete val="1"/>
        <c:axPos val="b"/>
        <c:numFmt formatCode="mmm\-yy" sourceLinked="1"/>
        <c:majorTickMark val="out"/>
        <c:minorTickMark val="none"/>
        <c:tickLblPos val="nextTo"/>
        <c:crossAx val="765159256"/>
        <c:crosses val="autoZero"/>
        <c:auto val="1"/>
        <c:lblOffset val="100"/>
        <c:baseTimeUnit val="months"/>
      </c:date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895317933030244E-2"/>
          <c:y val="0.9353043779527116"/>
          <c:w val="0.85150681165415842"/>
          <c:h val="5.592725832237054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2"/>
    <cs:fontRef idx="minor">
      <a:schemeClr val="tx2"/>
    </cs:fontRef>
    <cs:spPr>
      <a:ln w="9525">
        <a:solidFill>
          <a:schemeClr val="phClr"/>
        </a:solidFill>
        <a:round/>
      </a:ln>
    </cs:spPr>
  </cs:dataPointMarker>
  <cs:dataPointMarkerLayout symbol="circle" size="5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spPr>
      <a:ln>
        <a:solidFill>
          <a:schemeClr val="tx2">
            <a:lumMod val="40000"/>
            <a:lumOff val="6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251460</xdr:colOff>
          <xdr:row>4</xdr:row>
          <xdr:rowOff>22860</xdr:rowOff>
        </xdr:from>
        <xdr:to>
          <xdr:col>18</xdr:col>
          <xdr:colOff>60960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 MACRO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48561</xdr:colOff>
      <xdr:row>63</xdr:row>
      <xdr:rowOff>177210</xdr:rowOff>
    </xdr:from>
    <xdr:to>
      <xdr:col>25</xdr:col>
      <xdr:colOff>59016</xdr:colOff>
      <xdr:row>83</xdr:row>
      <xdr:rowOff>82379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B26EB10-95C0-4BA0-A9F1-D03999D08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86</xdr:row>
      <xdr:rowOff>80683</xdr:rowOff>
    </xdr:from>
    <xdr:to>
      <xdr:col>34</xdr:col>
      <xdr:colOff>0</xdr:colOff>
      <xdr:row>107</xdr:row>
      <xdr:rowOff>45551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7BD61A0-5313-4A44-B594-FF074FA783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86</xdr:row>
      <xdr:rowOff>35864</xdr:rowOff>
    </xdr:from>
    <xdr:to>
      <xdr:col>25</xdr:col>
      <xdr:colOff>10456</xdr:colOff>
      <xdr:row>106</xdr:row>
      <xdr:rowOff>138837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404A34C6-C474-43D9-B287-B180A19B57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64</xdr:row>
      <xdr:rowOff>0</xdr:rowOff>
    </xdr:from>
    <xdr:to>
      <xdr:col>34</xdr:col>
      <xdr:colOff>0</xdr:colOff>
      <xdr:row>83</xdr:row>
      <xdr:rowOff>123568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97E9E4B6-9512-4D0B-A7FE-1F4FD43F2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34</xdr:col>
      <xdr:colOff>0</xdr:colOff>
      <xdr:row>63</xdr:row>
      <xdr:rowOff>181427</xdr:rowOff>
    </xdr:from>
    <xdr:to>
      <xdr:col>42</xdr:col>
      <xdr:colOff>157239</xdr:colOff>
      <xdr:row>83</xdr:row>
      <xdr:rowOff>84665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A9C399BF-FD29-495F-8959-6FC6E287B5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34</xdr:col>
      <xdr:colOff>0</xdr:colOff>
      <xdr:row>86</xdr:row>
      <xdr:rowOff>45554</xdr:rowOff>
    </xdr:from>
    <xdr:to>
      <xdr:col>42</xdr:col>
      <xdr:colOff>10455</xdr:colOff>
      <xdr:row>104</xdr:row>
      <xdr:rowOff>173620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69AAEBBC-5456-4E01-9627-6BFBC2B093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42</xdr:col>
      <xdr:colOff>0</xdr:colOff>
      <xdr:row>84</xdr:row>
      <xdr:rowOff>181427</xdr:rowOff>
    </xdr:from>
    <xdr:to>
      <xdr:col>50</xdr:col>
      <xdr:colOff>362858</xdr:colOff>
      <xdr:row>104</xdr:row>
      <xdr:rowOff>145142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51631407-6A6C-45F6-80E4-663D682FE2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604760</xdr:colOff>
      <xdr:row>64</xdr:row>
      <xdr:rowOff>0</xdr:rowOff>
    </xdr:from>
    <xdr:to>
      <xdr:col>50</xdr:col>
      <xdr:colOff>205619</xdr:colOff>
      <xdr:row>84</xdr:row>
      <xdr:rowOff>120953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FA4908E9-99E1-4E64-99C3-8E5C212A43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51</xdr:col>
      <xdr:colOff>37476</xdr:colOff>
      <xdr:row>66</xdr:row>
      <xdr:rowOff>99935</xdr:rowOff>
    </xdr:from>
    <xdr:to>
      <xdr:col>70</xdr:col>
      <xdr:colOff>600363</xdr:colOff>
      <xdr:row>100</xdr:row>
      <xdr:rowOff>162394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C6653C-CB4B-450F-9278-C4C65EC2B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139</xdr:row>
      <xdr:rowOff>167640</xdr:rowOff>
    </xdr:from>
    <xdr:to>
      <xdr:col>16</xdr:col>
      <xdr:colOff>243840</xdr:colOff>
      <xdr:row>164</xdr:row>
      <xdr:rowOff>91440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A659B09-D52A-43E3-B829-9D707B54BA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100</xdr:row>
      <xdr:rowOff>0</xdr:rowOff>
    </xdr:from>
    <xdr:to>
      <xdr:col>15</xdr:col>
      <xdr:colOff>603662</xdr:colOff>
      <xdr:row>120</xdr:row>
      <xdr:rowOff>9896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708B328-63EC-42D2-8CC5-8E0D8B48A4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158337</xdr:colOff>
      <xdr:row>119</xdr:row>
      <xdr:rowOff>178129</xdr:rowOff>
    </xdr:from>
    <xdr:to>
      <xdr:col>15</xdr:col>
      <xdr:colOff>267194</xdr:colOff>
      <xdr:row>137</xdr:row>
      <xdr:rowOff>148441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CA6F3EA-56D8-48A6-8EDC-C3837A3129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158337</xdr:colOff>
      <xdr:row>81</xdr:row>
      <xdr:rowOff>98960</xdr:rowOff>
    </xdr:from>
    <xdr:to>
      <xdr:col>16</xdr:col>
      <xdr:colOff>79168</xdr:colOff>
      <xdr:row>101</xdr:row>
      <xdr:rowOff>4748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9E02594-8458-4FDB-9B97-9573B68C0E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64</xdr:row>
      <xdr:rowOff>0</xdr:rowOff>
    </xdr:from>
    <xdr:to>
      <xdr:col>16</xdr:col>
      <xdr:colOff>15240</xdr:colOff>
      <xdr:row>80</xdr:row>
      <xdr:rowOff>129540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C54BC5D-A65F-4D1B-BCBB-F3CA2E8351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11</xdr:row>
      <xdr:rowOff>0</xdr:rowOff>
    </xdr:from>
    <xdr:to>
      <xdr:col>49</xdr:col>
      <xdr:colOff>508000</xdr:colOff>
      <xdr:row>60</xdr:row>
      <xdr:rowOff>89646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448A3FF2-7FCE-456C-86C9-CF5C93B99D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167640</xdr:colOff>
          <xdr:row>2</xdr:row>
          <xdr:rowOff>83820</xdr:rowOff>
        </xdr:from>
        <xdr:to>
          <xdr:col>21</xdr:col>
          <xdr:colOff>76200</xdr:colOff>
          <xdr:row>5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9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8141AE5-AE3B-4C23-A49B-AF46DEA15D69}" name="Variance" displayName="Variance" ref="B4:Q54" totalsRowShown="0" headerRowDxfId="88" dataDxfId="87">
  <autoFilter ref="B4:Q54" xr:uid="{48141AE5-AE3B-4C23-A49B-AF46DEA15D69}"/>
  <tableColumns count="16">
    <tableColumn id="1" xr3:uid="{44A1F81C-CF13-4665-923F-796468565FCE}" name="Income Sources" dataDxfId="86"/>
    <tableColumn id="16" xr3:uid="{4B6AFC89-75BD-48AF-A403-556A76C003A8}" name="Oct-25" dataDxfId="85"/>
    <tableColumn id="15" xr3:uid="{CB7E446D-BE72-415B-8C22-26F1C1F3201F}" name="Nov-25" dataDxfId="84"/>
    <tableColumn id="14" xr3:uid="{8660A754-5A19-43E5-AF6C-8D04745DD24A}" name="Dec-25" dataDxfId="83"/>
    <tableColumn id="2" xr3:uid="{2EC20EC2-D84D-40FE-B16D-DEAC9366FBC9}" name="Jan-26" dataDxfId="82"/>
    <tableColumn id="3" xr3:uid="{615D1B0A-BDD3-46D5-B7BD-7C83104EBA2A}" name="Feb-26" dataDxfId="81"/>
    <tableColumn id="4" xr3:uid="{D31D83DF-BA1C-4F6A-86D6-153D412B79CB}" name="Mar-26" dataDxfId="80"/>
    <tableColumn id="5" xr3:uid="{387655A5-CBAF-49F2-8B7C-DC7E016FC588}" name="Apr-26" dataDxfId="79"/>
    <tableColumn id="6" xr3:uid="{884D7181-DE7D-4B7B-AFA3-758F0DD5C0C1}" name="May-26" dataDxfId="78"/>
    <tableColumn id="7" xr3:uid="{9C645828-1EC1-4FFA-A7E0-A381391CF0FF}" name="Jun-26" dataDxfId="77"/>
    <tableColumn id="8" xr3:uid="{15B34AB4-ED2B-44B0-847E-3D8F97502603}" name="Jul-26" dataDxfId="76"/>
    <tableColumn id="9" xr3:uid="{6A1C3D66-9900-4310-B892-BBE69A746279}" name="Aug-26" dataDxfId="75"/>
    <tableColumn id="10" xr3:uid="{E19BCDC8-7BFD-4C3C-A641-B2EF2A54B9FB}" name="Sep-26" dataDxfId="74"/>
    <tableColumn id="11" xr3:uid="{3622908A-C607-4B34-ABB5-17FE1EE55512}" name="Oct-26" dataDxfId="73"/>
    <tableColumn id="12" xr3:uid="{6EFBB381-93BF-4414-8004-9159ADC58ADB}" name="Nov-26" dataDxfId="72"/>
    <tableColumn id="13" xr3:uid="{A8491023-BB60-429F-94D8-775E152A173B}" name="Dec-26" dataDxfId="7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8B122D9-CF43-46B8-8502-C4F75991564B}" name="Actual" displayName="Actual" ref="B4:S54" totalsRowShown="0" headerRowDxfId="70" dataDxfId="69">
  <autoFilter ref="B4:S54" xr:uid="{FD022E70-545E-4474-B54E-52898FBAE27D}"/>
  <tableColumns count="18">
    <tableColumn id="1" xr3:uid="{7E80B075-70BC-40A9-A575-DDB28DBC044E}" name="Months/Income Sources" dataDxfId="68"/>
    <tableColumn id="17" xr3:uid="{3B1EBE12-2ACC-41ED-87AD-D357A00E8775}" name="Oct-25" dataDxfId="67">
      <calculatedColumnFormula>DATA!C4</calculatedColumnFormula>
    </tableColumn>
    <tableColumn id="16" xr3:uid="{17B36D7A-8A89-4A40-9E3A-8E80BB20A0FB}" name="Nov-25" dataDxfId="66"/>
    <tableColumn id="15" xr3:uid="{8265FCA7-68AB-4D8E-9C1C-4FD31D892DC5}" name="Dec-25" dataDxfId="65"/>
    <tableColumn id="2" xr3:uid="{07846D5C-656F-4AE6-ADF2-134EC48D7A47}" name="Jan-26" dataDxfId="64"/>
    <tableColumn id="3" xr3:uid="{11282D6C-65AB-49F2-9BC9-4716EC4729F1}" name="Feb-26" dataDxfId="63"/>
    <tableColumn id="4" xr3:uid="{75C84CDE-2E6A-4C23-9D95-013D92861BF3}" name="Mar-26" dataDxfId="62"/>
    <tableColumn id="5" xr3:uid="{A2F4BEBB-E959-48F4-97D3-C3EB27FAB3F4}" name="Apr-26" dataDxfId="61"/>
    <tableColumn id="6" xr3:uid="{BE529987-9712-4972-9E74-0AACBDA4BA43}" name="May-26" dataDxfId="60"/>
    <tableColumn id="7" xr3:uid="{D0835A46-E2DC-4B94-A8C3-CCDC15DA5392}" name="Jun-26" dataDxfId="59"/>
    <tableColumn id="8" xr3:uid="{8784F123-55F2-410B-9A2A-323A01DD944F}" name="Jul-26" dataDxfId="58"/>
    <tableColumn id="9" xr3:uid="{7F0CA181-3B7B-41D6-9894-01057EC235A0}" name="Aug-26" dataDxfId="57"/>
    <tableColumn id="10" xr3:uid="{FD4901F4-5C32-4098-87BA-22B57A1355EC}" name="Sep-26" dataDxfId="56"/>
    <tableColumn id="11" xr3:uid="{9F30D9A0-AB56-48D6-A40B-DB19010D3A36}" name="Oct-26" dataDxfId="55"/>
    <tableColumn id="12" xr3:uid="{A85D2705-014A-44A5-BEA2-F2E2B724DA12}" name="Nov-26" dataDxfId="54"/>
    <tableColumn id="13" xr3:uid="{CF022350-C631-4263-A44D-1EE0405B63B1}" name="Dec-26" dataDxfId="53"/>
    <tableColumn id="14" xr3:uid="{7C5F78F3-3B02-40BF-BC8A-0EBC233D8188}" name="Average - A" dataDxfId="52">
      <calculatedColumnFormula>AVERAGE(Actual[[#This Row],[Jan-26]:[Dec-26]])</calculatedColumnFormula>
    </tableColumn>
    <tableColumn id="18" xr3:uid="{0D10BE36-E193-40B5-80A1-E05D228D4D88}" name="Total - A" dataDxfId="51">
      <calculatedColumnFormula>SUM(Actual[[#This Row],[Oct-25]:[Dec-26]])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022E70-545E-4474-B54E-52898FBAE27D}" name="Budget" displayName="Budget" ref="B4:S54" totalsRowShown="0" headerRowDxfId="50" dataDxfId="49">
  <autoFilter ref="B4:S54" xr:uid="{FD022E70-545E-4474-B54E-52898FBAE27D}"/>
  <tableColumns count="18">
    <tableColumn id="1" xr3:uid="{73367129-AA91-408A-AA2A-53DC5E170235}" name="Income Sources" dataDxfId="48"/>
    <tableColumn id="17" xr3:uid="{4AEC43A0-0180-4B57-B500-C3E1723EEE44}" name="Oct-25" dataDxfId="47"/>
    <tableColumn id="16" xr3:uid="{6A183489-76F5-4220-93A9-2D61F1D56B12}" name="Nov-25" dataDxfId="46"/>
    <tableColumn id="15" xr3:uid="{FB0CA766-85C3-4C4F-8EDC-6B75D4389B4F}" name="Dec-25" dataDxfId="45"/>
    <tableColumn id="2" xr3:uid="{0529F815-E2D9-45AB-A75A-5268AE13117A}" name="Jan-26" dataDxfId="44"/>
    <tableColumn id="3" xr3:uid="{D5FE7AE6-9FC1-4A6D-A726-D9356B196E19}" name="Feb-26" dataDxfId="43"/>
    <tableColumn id="4" xr3:uid="{D735BE61-55EC-485B-A7D9-F9C343A788A7}" name="Mar-26" dataDxfId="42"/>
    <tableColumn id="5" xr3:uid="{FCD532B2-C494-4B01-8074-1FCAE4339055}" name="Apr-26" dataDxfId="41"/>
    <tableColumn id="6" xr3:uid="{9717B197-1A68-48C9-9B50-D931435F7168}" name="May-26" dataDxfId="40"/>
    <tableColumn id="7" xr3:uid="{78995DF6-2EC7-42CC-A532-6B3226530667}" name="Jun-26" dataDxfId="39"/>
    <tableColumn id="8" xr3:uid="{34D9C40C-6954-4090-B4FE-180F7D031B3B}" name="Jul-26" dataDxfId="38"/>
    <tableColumn id="9" xr3:uid="{91261235-7732-4D45-B17A-4B7241F779B8}" name="Aug-26" dataDxfId="37"/>
    <tableColumn id="10" xr3:uid="{01946F68-47EF-409C-AA64-430CEA256C79}" name="Sep-26" dataDxfId="36"/>
    <tableColumn id="11" xr3:uid="{F25F7656-611E-4291-9407-914E475C8CEB}" name="Oct-26" dataDxfId="35"/>
    <tableColumn id="12" xr3:uid="{F8599292-81C9-4D0B-95DE-30EE42ECFC26}" name="Nov-26" dataDxfId="34"/>
    <tableColumn id="13" xr3:uid="{67A0047D-3B3D-47B8-917A-19DA2F036C9A}" name="Dec-26" dataDxfId="33"/>
    <tableColumn id="14" xr3:uid="{C73733D4-AC3B-46BF-93F5-71FD0F9FBEED}" name="Average - B" dataDxfId="32">
      <calculatedColumnFormula>AVERAGE(Actual[[#This Row],[Jan-26]:[Dec-26]])</calculatedColumnFormula>
    </tableColumn>
    <tableColumn id="18" xr3:uid="{5ACCC01E-E70C-41EE-AA62-14B9800BA62F}" name="Total - A" dataDxfId="31">
      <calculatedColumnFormula>SUM(Actual[[#This Row],[Oct-25]:[Dec-26]])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4689D1-0C01-4C61-A666-1265D0BE745C}" name="Income­_Source" displayName="Income­_Source" ref="B4:F10" totalsRowShown="0" headerRowDxfId="30" dataDxfId="29">
  <autoFilter ref="B4:F10" xr:uid="{EA4689D1-0C01-4C61-A666-1265D0BE745C}"/>
  <tableColumns count="5">
    <tableColumn id="1" xr3:uid="{B010FAB3-B8FD-4239-AE79-F30636B3DE22}" name="Income" dataDxfId="28"/>
    <tableColumn id="2" xr3:uid="{D34C0674-E062-4FFE-B020-9C320C69467E}" name="Income1" dataDxfId="27"/>
    <tableColumn id="3" xr3:uid="{9AE784C8-593B-4107-B6DB-FD3D50C8A254}" name="Income2" dataDxfId="26"/>
    <tableColumn id="4" xr3:uid="{BB460677-9D96-4E5F-B743-C1D4BFF14A99}" name="Income3" dataDxfId="25"/>
    <tableColumn id="5" xr3:uid="{59791696-FF96-4E21-87D6-DB0D4F3ED31A}" name="Income4" dataDxfId="24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548315-7623-4AA1-9A62-FD0E0BFA896A}" name="Fixed_Exp" displayName="Fixed_Exp" ref="B13:I20" totalsRowShown="0" headerRowDxfId="23" dataDxfId="22">
  <autoFilter ref="B13:I20" xr:uid="{D9548315-7623-4AA1-9A62-FD0E0BFA896A}"/>
  <tableColumns count="8">
    <tableColumn id="1" xr3:uid="{3EB7926F-D72B-41FD-A9D6-30C295418459}" name="Fixed Expenses" dataDxfId="21"/>
    <tableColumn id="2" xr3:uid="{7EC83608-AC93-459D-B3AA-DBD9C55832A5}" name="FExp1" dataDxfId="20"/>
    <tableColumn id="3" xr3:uid="{558FE1C0-9D92-49B0-9FF3-98C18645A74E}" name="FExp2" dataDxfId="19"/>
    <tableColumn id="4" xr3:uid="{7E43D441-5350-41AC-95D3-E2D4F7C2E1D7}" name="FExp3" dataDxfId="18"/>
    <tableColumn id="5" xr3:uid="{5C4C0247-FC36-4A7D-BD3E-96CA4274E3E0}" name="FExp4" dataDxfId="17"/>
    <tableColumn id="6" xr3:uid="{B35A95C4-B970-4A95-B316-1DA29A135A2A}" name="FExp5" dataDxfId="16"/>
    <tableColumn id="7" xr3:uid="{3DD98216-FFC2-49BD-B912-E19FCB0C7B62}" name="FExp6" dataDxfId="15"/>
    <tableColumn id="8" xr3:uid="{34FF1913-0B88-4FC7-A7C2-FA6CCC5D13E1}" name="FExp7" dataDxfId="14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65FC74-EE12-4109-8F61-6B07CC030770}" name="Variable_Exp" displayName="Variable_Exp" ref="B23:F28" totalsRowShown="0" headerRowDxfId="13" dataDxfId="12">
  <autoFilter ref="B23:F28" xr:uid="{3665FC74-EE12-4109-8F61-6B07CC030770}"/>
  <tableColumns count="5">
    <tableColumn id="1" xr3:uid="{821620D8-5551-44E3-8D1C-A20DEAF8F81C}" name="Variable Expenses" dataDxfId="11"/>
    <tableColumn id="2" xr3:uid="{F7776706-FF6B-4145-AC96-D544115A692C}" name="VExp1" dataDxfId="10"/>
    <tableColumn id="3" xr3:uid="{784E7D3B-4CE5-41CD-AB33-5B3F74B30277}" name="VExp2" dataDxfId="9"/>
    <tableColumn id="4" xr3:uid="{09DE42FC-7A06-47D4-8C32-26733E9D8071}" name="VExp3" dataDxfId="8"/>
    <tableColumn id="5" xr3:uid="{0113B18E-819A-4995-B004-46EE469BED99}" name="VExp4" dataDxfId="7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F813FB1-E8F0-4AFC-907F-BADBBC8B3A69}" name="Investments" displayName="Investments" ref="B31:F41" totalsRowShown="0" headerRowDxfId="6" dataDxfId="5">
  <autoFilter ref="B31:F41" xr:uid="{7F813FB1-E8F0-4AFC-907F-BADBBC8B3A69}"/>
  <tableColumns count="5">
    <tableColumn id="1" xr3:uid="{D66F90B3-448E-4BCE-AC6F-9532C3CA133B}" name="Investments" dataDxfId="4"/>
    <tableColumn id="2" xr3:uid="{18257322-7FCE-41D8-80F6-F49C1C44EDFB}" name="Inv1" dataDxfId="3"/>
    <tableColumn id="3" xr3:uid="{E5B1B0A9-3701-43D3-952A-254A09EBA062}" name="Inv2" dataDxfId="2"/>
    <tableColumn id="4" xr3:uid="{51C1E139-9F4B-4CA7-A58E-47C3D93651F0}" name="Inv3" dataDxfId="1"/>
    <tableColumn id="5" xr3:uid="{7BDFE3A6-5122-484E-B8E4-B55907ABAA01}" name="Inv4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2D974-BCF6-4371-AFAE-126CB0001C8B}">
  <sheetPr codeName="Sheet9">
    <pageSetUpPr fitToPage="1"/>
  </sheetPr>
  <dimension ref="B3:N16"/>
  <sheetViews>
    <sheetView showGridLines="0" workbookViewId="0">
      <selection activeCell="O8" sqref="O8"/>
    </sheetView>
  </sheetViews>
  <sheetFormatPr defaultRowHeight="14.4" x14ac:dyDescent="0.3"/>
  <cols>
    <col min="1" max="1" width="2.33203125" customWidth="1"/>
    <col min="3" max="3" width="36.33203125" bestFit="1" customWidth="1"/>
    <col min="4" max="4" width="44.5546875" customWidth="1"/>
  </cols>
  <sheetData>
    <row r="3" spans="2:14" ht="24" thickBot="1" x14ac:dyDescent="0.35">
      <c r="B3" s="108" t="s">
        <v>234</v>
      </c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  <c r="N3" s="108"/>
    </row>
    <row r="4" spans="2:14" ht="15" thickBot="1" x14ac:dyDescent="0.35"/>
    <row r="5" spans="2:14" ht="21.6" thickBot="1" x14ac:dyDescent="0.45">
      <c r="B5" s="98" t="s">
        <v>226</v>
      </c>
      <c r="C5" s="99" t="s">
        <v>227</v>
      </c>
      <c r="D5" s="99" t="s">
        <v>228</v>
      </c>
      <c r="E5" s="100"/>
      <c r="F5" s="100"/>
      <c r="G5" s="100"/>
      <c r="H5" s="100"/>
      <c r="I5" s="100"/>
      <c r="J5" s="100"/>
      <c r="K5" s="100"/>
      <c r="L5" s="100"/>
      <c r="M5" s="100"/>
      <c r="N5" s="100"/>
    </row>
    <row r="6" spans="2:14" ht="21" x14ac:dyDescent="0.4">
      <c r="B6" s="82">
        <v>1</v>
      </c>
      <c r="C6" s="83" t="s">
        <v>220</v>
      </c>
      <c r="D6" s="84" t="s">
        <v>229</v>
      </c>
      <c r="E6" s="85"/>
      <c r="F6" s="85"/>
      <c r="G6" s="85"/>
      <c r="H6" s="85"/>
      <c r="I6" s="85"/>
      <c r="J6" s="85"/>
      <c r="K6" s="85"/>
      <c r="L6" s="85"/>
      <c r="M6" s="85"/>
    </row>
    <row r="7" spans="2:14" ht="39" customHeight="1" x14ac:dyDescent="0.3">
      <c r="B7" s="86">
        <v>2</v>
      </c>
      <c r="C7" s="90" t="s">
        <v>221</v>
      </c>
      <c r="D7" s="91" t="s">
        <v>230</v>
      </c>
      <c r="E7" s="91"/>
      <c r="F7" s="91"/>
      <c r="G7" s="91"/>
      <c r="H7" s="91"/>
      <c r="I7" s="91"/>
      <c r="J7" s="91"/>
      <c r="K7" s="91"/>
      <c r="L7" s="91"/>
      <c r="M7" s="91"/>
      <c r="N7" s="89"/>
    </row>
    <row r="8" spans="2:14" ht="21" x14ac:dyDescent="0.4">
      <c r="B8" s="86">
        <v>3</v>
      </c>
      <c r="C8" s="87" t="s">
        <v>222</v>
      </c>
      <c r="D8" s="88" t="s">
        <v>231</v>
      </c>
      <c r="E8" s="89"/>
      <c r="F8" s="89"/>
      <c r="G8" s="89"/>
      <c r="H8" s="89"/>
      <c r="I8" s="89"/>
      <c r="J8" s="89"/>
      <c r="K8" s="89"/>
      <c r="L8" s="89"/>
      <c r="M8" s="89"/>
      <c r="N8" s="89"/>
    </row>
    <row r="9" spans="2:14" ht="21" x14ac:dyDescent="0.4">
      <c r="B9" s="86">
        <v>4</v>
      </c>
      <c r="C9" s="87" t="s">
        <v>244</v>
      </c>
      <c r="D9" s="88" t="s">
        <v>235</v>
      </c>
      <c r="E9" s="89"/>
      <c r="F9" s="89"/>
      <c r="G9" s="89"/>
      <c r="H9" s="89"/>
      <c r="I9" s="89"/>
      <c r="J9" s="89"/>
      <c r="K9" s="89"/>
      <c r="L9" s="89"/>
      <c r="M9" s="89"/>
      <c r="N9" s="89"/>
    </row>
    <row r="10" spans="2:14" ht="21" x14ac:dyDescent="0.4">
      <c r="B10" s="86"/>
      <c r="C10" s="87"/>
      <c r="D10" s="88" t="s">
        <v>236</v>
      </c>
      <c r="E10" s="89"/>
      <c r="F10" s="89"/>
      <c r="G10" s="89"/>
      <c r="H10" s="89"/>
      <c r="I10" s="89"/>
      <c r="J10" s="89"/>
      <c r="K10" s="89"/>
      <c r="L10" s="89"/>
      <c r="M10" s="89"/>
      <c r="N10" s="89"/>
    </row>
    <row r="11" spans="2:14" ht="21" x14ac:dyDescent="0.4">
      <c r="B11" s="86">
        <v>5</v>
      </c>
      <c r="C11" s="87" t="s">
        <v>242</v>
      </c>
      <c r="D11" s="88" t="s">
        <v>249</v>
      </c>
      <c r="E11" s="89"/>
      <c r="F11" s="89"/>
      <c r="G11" s="89"/>
      <c r="H11" s="89"/>
      <c r="I11" s="89"/>
      <c r="J11" s="89"/>
      <c r="K11" s="89"/>
      <c r="L11" s="89"/>
      <c r="M11" s="89"/>
      <c r="N11" s="89"/>
    </row>
    <row r="12" spans="2:14" ht="21" x14ac:dyDescent="0.4">
      <c r="B12" s="86">
        <v>6</v>
      </c>
      <c r="C12" s="87" t="s">
        <v>214</v>
      </c>
      <c r="D12" s="88" t="s">
        <v>232</v>
      </c>
      <c r="E12" s="89"/>
      <c r="F12" s="89"/>
      <c r="G12" s="89"/>
      <c r="H12" s="89"/>
      <c r="I12" s="89"/>
      <c r="J12" s="89"/>
      <c r="K12" s="89"/>
      <c r="L12" s="89"/>
      <c r="M12" s="89"/>
      <c r="N12" s="89"/>
    </row>
    <row r="13" spans="2:14" ht="21" x14ac:dyDescent="0.4">
      <c r="B13" s="86">
        <v>7</v>
      </c>
      <c r="C13" s="87" t="s">
        <v>243</v>
      </c>
      <c r="D13" s="88" t="s">
        <v>248</v>
      </c>
      <c r="E13" s="89"/>
      <c r="F13" s="89"/>
      <c r="G13" s="89"/>
      <c r="H13" s="89"/>
      <c r="I13" s="89"/>
      <c r="J13" s="89"/>
      <c r="K13" s="89"/>
      <c r="L13" s="89"/>
      <c r="M13" s="89"/>
      <c r="N13" s="89"/>
    </row>
    <row r="14" spans="2:14" ht="21" x14ac:dyDescent="0.4">
      <c r="B14" s="94">
        <v>8</v>
      </c>
      <c r="C14" s="92" t="s">
        <v>223</v>
      </c>
      <c r="D14" s="93" t="s">
        <v>233</v>
      </c>
      <c r="E14" s="89"/>
      <c r="F14" s="89"/>
      <c r="G14" s="89"/>
      <c r="H14" s="89"/>
      <c r="I14" s="89"/>
      <c r="J14" s="89"/>
      <c r="K14" s="89"/>
      <c r="L14" s="89"/>
      <c r="M14" s="89"/>
      <c r="N14" s="89"/>
    </row>
    <row r="15" spans="2:14" ht="21" x14ac:dyDescent="0.4">
      <c r="B15" s="102">
        <v>9</v>
      </c>
      <c r="C15" s="103" t="s">
        <v>238</v>
      </c>
      <c r="D15" s="104" t="s">
        <v>247</v>
      </c>
      <c r="E15" s="105"/>
      <c r="F15" s="105"/>
      <c r="G15" s="105"/>
      <c r="H15" s="105"/>
      <c r="I15" s="105"/>
      <c r="J15" s="105"/>
      <c r="K15" s="105"/>
      <c r="L15" s="105"/>
      <c r="M15" s="105"/>
      <c r="N15" s="105"/>
    </row>
    <row r="16" spans="2:14" ht="21.6" thickBot="1" x14ac:dyDescent="0.35">
      <c r="B16" s="95">
        <v>10</v>
      </c>
      <c r="C16" s="97" t="s">
        <v>225</v>
      </c>
      <c r="D16" s="96" t="s">
        <v>237</v>
      </c>
      <c r="E16" s="96"/>
      <c r="F16" s="96"/>
      <c r="G16" s="96"/>
      <c r="H16" s="96"/>
      <c r="I16" s="96"/>
      <c r="J16" s="96"/>
      <c r="K16" s="96"/>
      <c r="L16" s="96"/>
      <c r="M16" s="96"/>
      <c r="N16" s="101"/>
    </row>
  </sheetData>
  <mergeCells count="1">
    <mergeCell ref="B3:N3"/>
  </mergeCells>
  <printOptions horizontalCentered="1"/>
  <pageMargins left="0.39370078740157483" right="0.39370078740157483" top="0.39370078740157483" bottom="0.39370078740157483" header="0.39370078740157483" footer="0.39370078740157483"/>
  <pageSetup paperSize="9" scale="76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1455D-6BEE-4173-8FC6-B9A950526214}">
  <sheetPr codeName="Sheet3">
    <pageSetUpPr fitToPage="1"/>
  </sheetPr>
  <dimension ref="B3:R39"/>
  <sheetViews>
    <sheetView showGridLines="0" tabSelected="1" topLeftCell="A5" workbookViewId="0">
      <selection activeCell="Q11" sqref="Q11"/>
    </sheetView>
  </sheetViews>
  <sheetFormatPr defaultRowHeight="14.4" x14ac:dyDescent="0.3"/>
  <cols>
    <col min="1" max="1" width="2.21875" customWidth="1"/>
  </cols>
  <sheetData>
    <row r="3" spans="2:18" ht="25.8" x14ac:dyDescent="0.5">
      <c r="B3" s="106" t="s">
        <v>204</v>
      </c>
      <c r="C3" s="107"/>
      <c r="D3" s="107"/>
      <c r="E3" s="107"/>
      <c r="F3" s="107"/>
      <c r="G3" s="107"/>
      <c r="H3" s="107"/>
      <c r="I3" s="107"/>
      <c r="J3" s="107"/>
      <c r="K3" s="107"/>
      <c r="L3" s="107"/>
      <c r="M3" s="107"/>
      <c r="N3" s="107"/>
      <c r="O3" s="107"/>
      <c r="P3" s="107"/>
      <c r="Q3" s="107"/>
      <c r="R3" s="107"/>
    </row>
    <row r="5" spans="2:18" ht="18" x14ac:dyDescent="0.35">
      <c r="B5" s="74" t="s">
        <v>185</v>
      </c>
      <c r="C5" s="74"/>
      <c r="D5" s="74"/>
      <c r="E5" s="74"/>
      <c r="F5" s="74"/>
    </row>
    <row r="6" spans="2:18" ht="15.6" x14ac:dyDescent="0.3">
      <c r="B6" s="9"/>
    </row>
    <row r="7" spans="2:18" ht="15.6" x14ac:dyDescent="0.3">
      <c r="B7" s="77" t="s">
        <v>205</v>
      </c>
    </row>
    <row r="8" spans="2:18" ht="15.6" x14ac:dyDescent="0.3">
      <c r="B8" s="77"/>
    </row>
    <row r="9" spans="2:18" x14ac:dyDescent="0.3">
      <c r="B9" s="112" t="s">
        <v>257</v>
      </c>
    </row>
    <row r="10" spans="2:18" ht="15.6" x14ac:dyDescent="0.3">
      <c r="B10" s="75" t="s">
        <v>199</v>
      </c>
    </row>
    <row r="11" spans="2:18" ht="15.6" x14ac:dyDescent="0.3">
      <c r="B11" s="9" t="s">
        <v>186</v>
      </c>
    </row>
    <row r="12" spans="2:18" ht="15.6" x14ac:dyDescent="0.3">
      <c r="B12" s="9" t="s">
        <v>194</v>
      </c>
    </row>
    <row r="13" spans="2:18" ht="15.6" x14ac:dyDescent="0.3">
      <c r="B13" s="75" t="s">
        <v>200</v>
      </c>
    </row>
    <row r="14" spans="2:18" ht="15.6" x14ac:dyDescent="0.3">
      <c r="B14" s="9" t="s">
        <v>224</v>
      </c>
    </row>
    <row r="15" spans="2:18" ht="15.6" x14ac:dyDescent="0.3">
      <c r="B15" s="9" t="s">
        <v>195</v>
      </c>
    </row>
    <row r="16" spans="2:18" ht="15.6" x14ac:dyDescent="0.3">
      <c r="B16" s="75" t="s">
        <v>201</v>
      </c>
    </row>
    <row r="17" spans="2:2" ht="15.6" x14ac:dyDescent="0.3">
      <c r="B17" s="9" t="s">
        <v>187</v>
      </c>
    </row>
    <row r="18" spans="2:2" ht="15.6" x14ac:dyDescent="0.3">
      <c r="B18" s="9" t="s">
        <v>188</v>
      </c>
    </row>
    <row r="19" spans="2:2" ht="15.6" x14ac:dyDescent="0.3">
      <c r="B19" s="9" t="s">
        <v>189</v>
      </c>
    </row>
    <row r="20" spans="2:2" ht="15.6" x14ac:dyDescent="0.3">
      <c r="B20" s="9" t="s">
        <v>190</v>
      </c>
    </row>
    <row r="21" spans="2:2" ht="15.6" x14ac:dyDescent="0.3">
      <c r="B21" s="9" t="s">
        <v>250</v>
      </c>
    </row>
    <row r="22" spans="2:2" ht="15.6" x14ac:dyDescent="0.3">
      <c r="B22" s="9" t="s">
        <v>251</v>
      </c>
    </row>
    <row r="23" spans="2:2" ht="15.6" x14ac:dyDescent="0.3">
      <c r="B23" s="9" t="s">
        <v>196</v>
      </c>
    </row>
    <row r="24" spans="2:2" ht="15.6" x14ac:dyDescent="0.3">
      <c r="B24" s="75" t="s">
        <v>239</v>
      </c>
    </row>
    <row r="25" spans="2:2" ht="15.6" x14ac:dyDescent="0.3">
      <c r="B25" s="9" t="s">
        <v>240</v>
      </c>
    </row>
    <row r="26" spans="2:2" ht="15.6" x14ac:dyDescent="0.3">
      <c r="B26" s="75" t="s">
        <v>202</v>
      </c>
    </row>
    <row r="27" spans="2:2" ht="15.6" x14ac:dyDescent="0.3">
      <c r="B27" s="9" t="s">
        <v>191</v>
      </c>
    </row>
    <row r="28" spans="2:2" ht="15.6" x14ac:dyDescent="0.3">
      <c r="B28" s="9" t="s">
        <v>192</v>
      </c>
    </row>
    <row r="29" spans="2:2" ht="15.6" x14ac:dyDescent="0.3">
      <c r="B29" s="9" t="s">
        <v>246</v>
      </c>
    </row>
    <row r="30" spans="2:2" ht="15.6" x14ac:dyDescent="0.3">
      <c r="B30" s="9" t="s">
        <v>245</v>
      </c>
    </row>
    <row r="31" spans="2:2" ht="15.6" x14ac:dyDescent="0.3">
      <c r="B31" s="75" t="s">
        <v>203</v>
      </c>
    </row>
    <row r="32" spans="2:2" ht="15.6" x14ac:dyDescent="0.3">
      <c r="B32" s="9" t="s">
        <v>197</v>
      </c>
    </row>
    <row r="33" spans="2:2" ht="15.6" x14ac:dyDescent="0.3">
      <c r="B33" s="2"/>
    </row>
    <row r="35" spans="2:2" ht="15.6" x14ac:dyDescent="0.3">
      <c r="B35" s="76" t="s">
        <v>193</v>
      </c>
    </row>
    <row r="36" spans="2:2" ht="15.6" x14ac:dyDescent="0.3">
      <c r="B36" s="75" t="s">
        <v>198</v>
      </c>
    </row>
    <row r="37" spans="2:2" ht="15.6" x14ac:dyDescent="0.3">
      <c r="B37" s="9"/>
    </row>
    <row r="38" spans="2:2" ht="15.6" x14ac:dyDescent="0.3">
      <c r="B38" s="9"/>
    </row>
    <row r="39" spans="2:2" ht="15.6" x14ac:dyDescent="0.3">
      <c r="B39" s="2"/>
    </row>
  </sheetData>
  <printOptions horizontalCentered="1" verticalCentered="1"/>
  <pageMargins left="0.39370078740157483" right="0.39370078740157483" top="0.39370078740157483" bottom="0.39370078740157483" header="0.39370078740157483" footer="0.39370078740157483"/>
  <pageSetup paperSize="9" scale="9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howFinanceForm">
                <anchor moveWithCells="1" sizeWithCells="1">
                  <from>
                    <xdr:col>15</xdr:col>
                    <xdr:colOff>251460</xdr:colOff>
                    <xdr:row>4</xdr:row>
                    <xdr:rowOff>22860</xdr:rowOff>
                  </from>
                  <to>
                    <xdr:col>18</xdr:col>
                    <xdr:colOff>60960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F678AC-BD0D-4993-8D0F-A73F34A48F42}">
  <sheetPr codeName="Sheet1"/>
  <dimension ref="B2:BS63"/>
  <sheetViews>
    <sheetView showGridLines="0" topLeftCell="A101" zoomScale="42" zoomScaleNormal="100" workbookViewId="0">
      <selection activeCell="BA36" sqref="BA36"/>
    </sheetView>
  </sheetViews>
  <sheetFormatPr defaultRowHeight="14.4" x14ac:dyDescent="0.3"/>
  <cols>
    <col min="1" max="1" width="2.33203125" customWidth="1"/>
  </cols>
  <sheetData>
    <row r="2" spans="2:50" x14ac:dyDescent="0.3">
      <c r="B2" s="110" t="s">
        <v>241</v>
      </c>
      <c r="C2" s="110"/>
      <c r="D2" s="110"/>
      <c r="E2" s="110"/>
      <c r="F2" s="110"/>
      <c r="G2" s="110"/>
      <c r="H2" s="110"/>
      <c r="I2" s="110"/>
      <c r="J2" s="110"/>
      <c r="K2" s="110"/>
      <c r="L2" s="110"/>
      <c r="M2" s="110"/>
      <c r="N2" s="110"/>
      <c r="O2" s="110"/>
      <c r="P2" s="110"/>
      <c r="Q2" s="110"/>
      <c r="R2" s="110"/>
      <c r="S2" s="110"/>
      <c r="T2" s="110"/>
      <c r="U2" s="110"/>
      <c r="V2" s="110"/>
      <c r="W2" s="110"/>
      <c r="X2" s="110"/>
      <c r="Y2" s="110"/>
      <c r="Z2" s="110"/>
      <c r="AA2" s="110"/>
      <c r="AB2" s="110"/>
      <c r="AC2" s="110"/>
      <c r="AD2" s="110"/>
      <c r="AE2" s="110"/>
      <c r="AF2" s="110"/>
      <c r="AG2" s="110"/>
      <c r="AH2" s="110"/>
      <c r="AI2" s="110"/>
      <c r="AJ2" s="110"/>
      <c r="AK2" s="110"/>
      <c r="AL2" s="110"/>
      <c r="AM2" s="110"/>
      <c r="AN2" s="110"/>
      <c r="AO2" s="110"/>
      <c r="AP2" s="110"/>
      <c r="AQ2" s="110"/>
      <c r="AR2" s="110"/>
      <c r="AS2" s="110"/>
      <c r="AT2" s="110"/>
      <c r="AU2" s="110"/>
      <c r="AV2" s="110"/>
      <c r="AW2" s="110"/>
      <c r="AX2" s="110"/>
    </row>
    <row r="3" spans="2:50" x14ac:dyDescent="0.3">
      <c r="B3" s="110"/>
      <c r="C3" s="110"/>
      <c r="D3" s="110"/>
      <c r="E3" s="110"/>
      <c r="F3" s="110"/>
      <c r="G3" s="110"/>
      <c r="H3" s="110"/>
      <c r="I3" s="110"/>
      <c r="J3" s="110"/>
      <c r="K3" s="110"/>
      <c r="L3" s="110"/>
      <c r="M3" s="110"/>
      <c r="N3" s="110"/>
      <c r="O3" s="110"/>
      <c r="P3" s="110"/>
      <c r="Q3" s="110"/>
      <c r="R3" s="110"/>
      <c r="S3" s="110"/>
      <c r="T3" s="110"/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  <c r="AF3" s="110"/>
      <c r="AG3" s="110"/>
      <c r="AH3" s="110"/>
      <c r="AI3" s="110"/>
      <c r="AJ3" s="110"/>
      <c r="AK3" s="110"/>
      <c r="AL3" s="110"/>
      <c r="AM3" s="110"/>
      <c r="AN3" s="110"/>
      <c r="AO3" s="110"/>
      <c r="AP3" s="110"/>
      <c r="AQ3" s="110"/>
      <c r="AR3" s="110"/>
      <c r="AS3" s="110"/>
      <c r="AT3" s="110"/>
      <c r="AU3" s="110"/>
      <c r="AV3" s="110"/>
      <c r="AW3" s="110"/>
      <c r="AX3" s="110"/>
    </row>
    <row r="4" spans="2:50" x14ac:dyDescent="0.3">
      <c r="B4" s="110"/>
      <c r="C4" s="110"/>
      <c r="D4" s="110"/>
      <c r="E4" s="110"/>
      <c r="F4" s="110"/>
      <c r="G4" s="110"/>
      <c r="H4" s="110"/>
      <c r="I4" s="110"/>
      <c r="J4" s="110"/>
      <c r="K4" s="110"/>
      <c r="L4" s="110"/>
      <c r="M4" s="110"/>
      <c r="N4" s="110"/>
      <c r="O4" s="110"/>
      <c r="P4" s="110"/>
      <c r="Q4" s="110"/>
      <c r="R4" s="110"/>
      <c r="S4" s="110"/>
      <c r="T4" s="110"/>
      <c r="U4" s="110"/>
      <c r="V4" s="110"/>
      <c r="W4" s="110"/>
      <c r="X4" s="110"/>
      <c r="Y4" s="110"/>
      <c r="Z4" s="110"/>
      <c r="AA4" s="110"/>
      <c r="AB4" s="110"/>
      <c r="AC4" s="110"/>
      <c r="AD4" s="110"/>
      <c r="AE4" s="110"/>
      <c r="AF4" s="110"/>
      <c r="AG4" s="110"/>
      <c r="AH4" s="110"/>
      <c r="AI4" s="110"/>
      <c r="AJ4" s="110"/>
      <c r="AK4" s="110"/>
      <c r="AL4" s="110"/>
      <c r="AM4" s="110"/>
      <c r="AN4" s="110"/>
      <c r="AO4" s="110"/>
      <c r="AP4" s="110"/>
      <c r="AQ4" s="110"/>
      <c r="AR4" s="110"/>
      <c r="AS4" s="110"/>
      <c r="AT4" s="110"/>
      <c r="AU4" s="110"/>
      <c r="AV4" s="110"/>
      <c r="AW4" s="110"/>
      <c r="AX4" s="110"/>
    </row>
    <row r="5" spans="2:50" x14ac:dyDescent="0.3">
      <c r="B5" s="110"/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10"/>
      <c r="O5" s="110"/>
      <c r="P5" s="110"/>
      <c r="Q5" s="110"/>
      <c r="R5" s="110"/>
      <c r="S5" s="110"/>
      <c r="T5" s="110"/>
      <c r="U5" s="110"/>
      <c r="V5" s="110"/>
      <c r="W5" s="110"/>
      <c r="X5" s="110"/>
      <c r="Y5" s="110"/>
      <c r="Z5" s="110"/>
      <c r="AA5" s="110"/>
      <c r="AB5" s="110"/>
      <c r="AC5" s="110"/>
      <c r="AD5" s="110"/>
      <c r="AE5" s="110"/>
      <c r="AF5" s="110"/>
      <c r="AG5" s="110"/>
      <c r="AH5" s="110"/>
      <c r="AI5" s="110"/>
      <c r="AJ5" s="110"/>
      <c r="AK5" s="110"/>
      <c r="AL5" s="110"/>
      <c r="AM5" s="110"/>
      <c r="AN5" s="110"/>
      <c r="AO5" s="110"/>
      <c r="AP5" s="110"/>
      <c r="AQ5" s="110"/>
      <c r="AR5" s="110"/>
      <c r="AS5" s="110"/>
      <c r="AT5" s="110"/>
      <c r="AU5" s="110"/>
      <c r="AV5" s="110"/>
      <c r="AW5" s="110"/>
      <c r="AX5" s="110"/>
    </row>
    <row r="6" spans="2:50" x14ac:dyDescent="0.3"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10"/>
      <c r="O6" s="110"/>
      <c r="P6" s="110"/>
      <c r="Q6" s="110"/>
      <c r="R6" s="110"/>
      <c r="S6" s="110"/>
      <c r="T6" s="110"/>
      <c r="U6" s="110"/>
      <c r="V6" s="110"/>
      <c r="W6" s="110"/>
      <c r="X6" s="110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110"/>
      <c r="AP6" s="110"/>
      <c r="AQ6" s="110"/>
      <c r="AR6" s="110"/>
      <c r="AS6" s="110"/>
      <c r="AT6" s="110"/>
      <c r="AU6" s="110"/>
      <c r="AV6" s="110"/>
      <c r="AW6" s="110"/>
      <c r="AX6" s="110"/>
    </row>
    <row r="63" spans="2:71" ht="25.8" customHeight="1" x14ac:dyDescent="0.3">
      <c r="B63" s="109" t="s">
        <v>175</v>
      </c>
      <c r="C63" s="109"/>
      <c r="D63" s="109"/>
      <c r="E63" s="109"/>
      <c r="F63" s="109"/>
      <c r="G63" s="109"/>
      <c r="H63" s="109"/>
      <c r="I63" s="109"/>
      <c r="J63" s="109"/>
      <c r="K63" s="109"/>
      <c r="L63" s="109"/>
      <c r="M63" s="109"/>
      <c r="N63" s="109"/>
      <c r="O63" s="109"/>
      <c r="P63" s="109"/>
      <c r="R63" s="109" t="s">
        <v>178</v>
      </c>
      <c r="S63" s="109"/>
      <c r="T63" s="109"/>
      <c r="U63" s="109"/>
      <c r="V63" s="109"/>
      <c r="W63" s="109"/>
      <c r="X63" s="109"/>
      <c r="Y63" s="109"/>
      <c r="Z63" s="109"/>
      <c r="AA63" s="109"/>
      <c r="AB63" s="109"/>
      <c r="AC63" s="109"/>
      <c r="AD63" s="109"/>
      <c r="AE63" s="109"/>
      <c r="AF63" s="109"/>
      <c r="AG63" s="109"/>
      <c r="AH63" s="109"/>
      <c r="AI63" s="109"/>
      <c r="AJ63" s="109"/>
      <c r="AK63" s="109"/>
      <c r="AL63" s="109"/>
      <c r="AM63" s="109"/>
      <c r="AN63" s="109"/>
      <c r="AO63" s="109"/>
      <c r="AP63" s="109"/>
      <c r="AQ63" s="109"/>
      <c r="AR63" s="109"/>
      <c r="AS63" s="109"/>
      <c r="AT63" s="109"/>
      <c r="AU63" s="109"/>
      <c r="AV63" s="109"/>
      <c r="AW63" s="109"/>
      <c r="AX63" s="109"/>
      <c r="AZ63" s="109" t="s">
        <v>216</v>
      </c>
      <c r="BA63" s="109"/>
      <c r="BB63" s="109"/>
      <c r="BC63" s="109"/>
      <c r="BD63" s="109"/>
      <c r="BE63" s="109"/>
      <c r="BF63" s="109"/>
      <c r="BG63" s="109"/>
      <c r="BH63" s="109"/>
      <c r="BI63" s="109"/>
      <c r="BJ63" s="109"/>
      <c r="BK63" s="109"/>
      <c r="BL63" s="109"/>
      <c r="BM63" s="109"/>
      <c r="BN63" s="109"/>
      <c r="BO63" s="109"/>
      <c r="BP63" s="109"/>
      <c r="BQ63" s="109"/>
      <c r="BR63" s="109"/>
      <c r="BS63" s="109"/>
    </row>
  </sheetData>
  <mergeCells count="4">
    <mergeCell ref="B63:P63"/>
    <mergeCell ref="R63:AX63"/>
    <mergeCell ref="AZ63:BS63"/>
    <mergeCell ref="B2:AX6"/>
  </mergeCells>
  <pageMargins left="0.7" right="0.7" top="0.75" bottom="0.75" header="0.3" footer="0.3"/>
  <pageSetup orientation="portrait" r:id="rId1"/>
  <drawing r:id="rId2"/>
  <webPublishItems count="1">
    <webPublishItem id="14187" divId="Personal Financial Planner 2.0 _14187" sourceType="sheet" destinationFile="C:\Users\DELL\OneDrive\Desktop\iFEEL Subjects\SEM III\FA&amp;AI\Macro\Update\Graphs\Personal Financial Planner 2.0 .htm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D25C5-49F4-4E85-8C2D-50A82CF944FA}">
  <sheetPr codeName="Sheet4">
    <pageSetUpPr fitToPage="1"/>
  </sheetPr>
  <dimension ref="B2:R32"/>
  <sheetViews>
    <sheetView showGridLines="0" view="pageBreakPreview" zoomScale="95" zoomScaleNormal="100" workbookViewId="0">
      <selection activeCell="D50" sqref="D50"/>
    </sheetView>
  </sheetViews>
  <sheetFormatPr defaultRowHeight="14.4" x14ac:dyDescent="0.3"/>
  <cols>
    <col min="1" max="1" width="2.33203125" customWidth="1"/>
    <col min="2" max="2" width="21.21875" customWidth="1"/>
    <col min="3" max="8" width="11" bestFit="1" customWidth="1"/>
    <col min="9" max="17" width="12.44140625" bestFit="1" customWidth="1"/>
  </cols>
  <sheetData>
    <row r="2" spans="2:18" ht="24" customHeight="1" x14ac:dyDescent="0.3">
      <c r="B2" s="109" t="s">
        <v>175</v>
      </c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</row>
    <row r="3" spans="2:18" ht="4.2" customHeight="1" x14ac:dyDescent="0.3"/>
    <row r="4" spans="2:18" ht="15.6" x14ac:dyDescent="0.3">
      <c r="B4" s="18" t="s">
        <v>159</v>
      </c>
      <c r="C4" s="70">
        <v>45961</v>
      </c>
      <c r="D4" s="70">
        <v>45991</v>
      </c>
      <c r="E4" s="70">
        <v>46022</v>
      </c>
      <c r="F4" s="70">
        <v>46053</v>
      </c>
      <c r="G4" s="70">
        <v>46081</v>
      </c>
      <c r="H4" s="70">
        <v>46112</v>
      </c>
      <c r="I4" s="70">
        <v>46142</v>
      </c>
      <c r="J4" s="70">
        <v>46173</v>
      </c>
      <c r="K4" s="70">
        <v>46203</v>
      </c>
      <c r="L4" s="70">
        <v>46234</v>
      </c>
      <c r="M4" s="70">
        <v>46265</v>
      </c>
      <c r="N4" s="70">
        <v>46295</v>
      </c>
      <c r="O4" s="70">
        <v>46326</v>
      </c>
      <c r="P4" s="70">
        <v>46356</v>
      </c>
      <c r="Q4" s="70">
        <v>46387</v>
      </c>
      <c r="R4" s="4"/>
    </row>
    <row r="5" spans="2:18" ht="4.2" customHeight="1" x14ac:dyDescent="0.3"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4"/>
    </row>
    <row r="6" spans="2:18" ht="15.6" x14ac:dyDescent="0.3">
      <c r="B6" s="64" t="s">
        <v>162</v>
      </c>
      <c r="C6" s="65">
        <v>0</v>
      </c>
      <c r="D6" s="65">
        <f ca="1">C9</f>
        <v>2462</v>
      </c>
      <c r="E6" s="65">
        <f ca="1">D9</f>
        <v>940</v>
      </c>
      <c r="F6" s="65">
        <f ca="1">E9</f>
        <v>-76</v>
      </c>
      <c r="G6" s="65">
        <f ca="1">F9</f>
        <v>-7089</v>
      </c>
      <c r="H6" s="65">
        <f t="shared" ref="H6:Q6" ca="1" si="0">G9</f>
        <v>-9228</v>
      </c>
      <c r="I6" s="65">
        <f t="shared" ca="1" si="0"/>
        <v>-9986</v>
      </c>
      <c r="J6" s="65">
        <f t="shared" ca="1" si="0"/>
        <v>-9915</v>
      </c>
      <c r="K6" s="65">
        <f t="shared" ca="1" si="0"/>
        <v>-12459</v>
      </c>
      <c r="L6" s="65">
        <f t="shared" ca="1" si="0"/>
        <v>-15448</v>
      </c>
      <c r="M6" s="65">
        <f t="shared" ca="1" si="0"/>
        <v>-22316</v>
      </c>
      <c r="N6" s="65">
        <f t="shared" ca="1" si="0"/>
        <v>-19153</v>
      </c>
      <c r="O6" s="65">
        <f t="shared" ca="1" si="0"/>
        <v>-20622</v>
      </c>
      <c r="P6" s="65">
        <f t="shared" ca="1" si="0"/>
        <v>-17362</v>
      </c>
      <c r="Q6" s="65">
        <f t="shared" ca="1" si="0"/>
        <v>-16009</v>
      </c>
    </row>
    <row r="7" spans="2:18" ht="15.6" x14ac:dyDescent="0.3">
      <c r="B7" s="26" t="s">
        <v>163</v>
      </c>
      <c r="C7" s="49">
        <f ca="1">Budget!C12</f>
        <v>161457</v>
      </c>
      <c r="D7" s="49">
        <f ca="1">Budget!D12</f>
        <v>164059</v>
      </c>
      <c r="E7" s="49">
        <f ca="1">Budget!E12</f>
        <v>161113</v>
      </c>
      <c r="F7" s="49">
        <f ca="1">Budget!F12</f>
        <v>163529</v>
      </c>
      <c r="G7" s="49">
        <f ca="1">Budget!G12</f>
        <v>162969</v>
      </c>
      <c r="H7" s="49">
        <f ca="1">Budget!H12</f>
        <v>162244</v>
      </c>
      <c r="I7" s="49">
        <f ca="1">Budget!I12</f>
        <v>164668</v>
      </c>
      <c r="J7" s="49">
        <f ca="1">Budget!J12</f>
        <v>163779</v>
      </c>
      <c r="K7" s="49">
        <f ca="1">Budget!K12</f>
        <v>163454</v>
      </c>
      <c r="L7" s="49">
        <f ca="1">Budget!L12</f>
        <v>170192</v>
      </c>
      <c r="M7" s="49">
        <f ca="1">Budget!M12</f>
        <v>171629</v>
      </c>
      <c r="N7" s="49">
        <f ca="1">Budget!N12</f>
        <v>171090</v>
      </c>
      <c r="O7" s="49">
        <f ca="1">Budget!O12</f>
        <v>174425</v>
      </c>
      <c r="P7" s="49">
        <f ca="1">Budget!P12</f>
        <v>171913</v>
      </c>
      <c r="Q7" s="49">
        <f ca="1">Budget!Q12</f>
        <v>170109</v>
      </c>
    </row>
    <row r="8" spans="2:18" ht="15.6" x14ac:dyDescent="0.3">
      <c r="B8" s="61" t="s">
        <v>164</v>
      </c>
      <c r="C8" s="50">
        <f ca="1">Budget!C36+Budget!C52</f>
        <v>158995</v>
      </c>
      <c r="D8" s="50">
        <f ca="1">Budget!D36+Budget!D52</f>
        <v>165581</v>
      </c>
      <c r="E8" s="50">
        <f ca="1">Budget!E36+Budget!E52</f>
        <v>162129</v>
      </c>
      <c r="F8" s="50">
        <f ca="1">Budget!F36+Budget!F52</f>
        <v>170542</v>
      </c>
      <c r="G8" s="50">
        <f ca="1">Budget!G36+Budget!G52</f>
        <v>165108</v>
      </c>
      <c r="H8" s="50">
        <f ca="1">Budget!H36+Budget!H52</f>
        <v>163002</v>
      </c>
      <c r="I8" s="50">
        <f ca="1">Budget!I36+Budget!I52</f>
        <v>164597</v>
      </c>
      <c r="J8" s="50">
        <f ca="1">Budget!J36+Budget!J52</f>
        <v>166323</v>
      </c>
      <c r="K8" s="50">
        <f ca="1">Budget!K36+Budget!K52</f>
        <v>166443</v>
      </c>
      <c r="L8" s="50">
        <f ca="1">Budget!L36+Budget!L52</f>
        <v>177060</v>
      </c>
      <c r="M8" s="50">
        <f ca="1">Budget!M36+Budget!M52</f>
        <v>168466</v>
      </c>
      <c r="N8" s="50">
        <f ca="1">Budget!N36+Budget!N52</f>
        <v>172559</v>
      </c>
      <c r="O8" s="50">
        <f ca="1">Budget!O36+Budget!O52</f>
        <v>171165</v>
      </c>
      <c r="P8" s="50">
        <f ca="1">Budget!P36+Budget!P52</f>
        <v>170560</v>
      </c>
      <c r="Q8" s="50">
        <f ca="1">Budget!Q36+Budget!Q52</f>
        <v>175384</v>
      </c>
    </row>
    <row r="9" spans="2:18" ht="15.6" x14ac:dyDescent="0.3">
      <c r="B9" s="66" t="s">
        <v>165</v>
      </c>
      <c r="C9" s="67">
        <f ca="1">C6+C7-C8</f>
        <v>2462</v>
      </c>
      <c r="D9" s="67">
        <f ca="1">D6+D7-D8</f>
        <v>940</v>
      </c>
      <c r="E9" s="67">
        <f t="shared" ref="E9:Q9" ca="1" si="1">E6+E7-E8</f>
        <v>-76</v>
      </c>
      <c r="F9" s="67">
        <f t="shared" ca="1" si="1"/>
        <v>-7089</v>
      </c>
      <c r="G9" s="67">
        <f ca="1">G6+G7-G8</f>
        <v>-9228</v>
      </c>
      <c r="H9" s="67">
        <f t="shared" ca="1" si="1"/>
        <v>-9986</v>
      </c>
      <c r="I9" s="67">
        <f t="shared" ca="1" si="1"/>
        <v>-9915</v>
      </c>
      <c r="J9" s="67">
        <f t="shared" ca="1" si="1"/>
        <v>-12459</v>
      </c>
      <c r="K9" s="67">
        <f t="shared" ca="1" si="1"/>
        <v>-15448</v>
      </c>
      <c r="L9" s="67">
        <f t="shared" ca="1" si="1"/>
        <v>-22316</v>
      </c>
      <c r="M9" s="67">
        <f t="shared" ca="1" si="1"/>
        <v>-19153</v>
      </c>
      <c r="N9" s="67">
        <f t="shared" ca="1" si="1"/>
        <v>-20622</v>
      </c>
      <c r="O9" s="67">
        <f t="shared" ca="1" si="1"/>
        <v>-17362</v>
      </c>
      <c r="P9" s="67">
        <f t="shared" ca="1" si="1"/>
        <v>-16009</v>
      </c>
      <c r="Q9" s="67">
        <f t="shared" ca="1" si="1"/>
        <v>-21284</v>
      </c>
    </row>
    <row r="12" spans="2:18" ht="15.6" x14ac:dyDescent="0.3">
      <c r="B12" s="18" t="s">
        <v>160</v>
      </c>
      <c r="C12" s="70">
        <f t="shared" ref="C12:Q12" si="2">C4</f>
        <v>45961</v>
      </c>
      <c r="D12" s="70">
        <f t="shared" si="2"/>
        <v>45991</v>
      </c>
      <c r="E12" s="70">
        <f t="shared" si="2"/>
        <v>46022</v>
      </c>
      <c r="F12" s="70">
        <f t="shared" si="2"/>
        <v>46053</v>
      </c>
      <c r="G12" s="70">
        <f t="shared" si="2"/>
        <v>46081</v>
      </c>
      <c r="H12" s="70">
        <f t="shared" si="2"/>
        <v>46112</v>
      </c>
      <c r="I12" s="70">
        <f t="shared" si="2"/>
        <v>46142</v>
      </c>
      <c r="J12" s="70">
        <f t="shared" si="2"/>
        <v>46173</v>
      </c>
      <c r="K12" s="70">
        <f t="shared" si="2"/>
        <v>46203</v>
      </c>
      <c r="L12" s="70">
        <f t="shared" si="2"/>
        <v>46234</v>
      </c>
      <c r="M12" s="70">
        <f t="shared" si="2"/>
        <v>46265</v>
      </c>
      <c r="N12" s="70">
        <f t="shared" si="2"/>
        <v>46295</v>
      </c>
      <c r="O12" s="70">
        <f t="shared" si="2"/>
        <v>46326</v>
      </c>
      <c r="P12" s="70">
        <f t="shared" si="2"/>
        <v>46356</v>
      </c>
      <c r="Q12" s="70">
        <f t="shared" si="2"/>
        <v>46387</v>
      </c>
    </row>
    <row r="13" spans="2:18" ht="4.2" customHeight="1" x14ac:dyDescent="0.3"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</row>
    <row r="14" spans="2:18" ht="15.6" x14ac:dyDescent="0.3">
      <c r="B14" s="29" t="s">
        <v>166</v>
      </c>
      <c r="C14" s="58">
        <v>0</v>
      </c>
      <c r="D14" s="58">
        <f>C17</f>
        <v>42716</v>
      </c>
      <c r="E14" s="58">
        <f t="shared" ref="E14:F14" si="3">D17</f>
        <v>11716</v>
      </c>
      <c r="F14" s="58">
        <f t="shared" si="3"/>
        <v>1716</v>
      </c>
      <c r="G14" s="58">
        <f>F17</f>
        <v>6716</v>
      </c>
      <c r="H14" s="58">
        <f t="shared" ref="H14:Q14" si="4">G17</f>
        <v>1716</v>
      </c>
      <c r="I14" s="58">
        <f t="shared" si="4"/>
        <v>1716</v>
      </c>
      <c r="J14" s="58">
        <f t="shared" si="4"/>
        <v>0</v>
      </c>
      <c r="K14" s="58">
        <f t="shared" si="4"/>
        <v>0</v>
      </c>
      <c r="L14" s="58">
        <f t="shared" si="4"/>
        <v>0</v>
      </c>
      <c r="M14" s="58">
        <f t="shared" si="4"/>
        <v>0</v>
      </c>
      <c r="N14" s="58">
        <f t="shared" si="4"/>
        <v>0</v>
      </c>
      <c r="O14" s="58">
        <f t="shared" si="4"/>
        <v>0</v>
      </c>
      <c r="P14" s="58">
        <f t="shared" si="4"/>
        <v>0</v>
      </c>
      <c r="Q14" s="58">
        <f t="shared" si="4"/>
        <v>0</v>
      </c>
    </row>
    <row r="15" spans="2:18" ht="15.6" x14ac:dyDescent="0.3">
      <c r="B15" s="26" t="s">
        <v>167</v>
      </c>
      <c r="C15" s="49">
        <f>Actual!C12</f>
        <v>180435</v>
      </c>
      <c r="D15" s="49">
        <f>Actual!D12</f>
        <v>163435</v>
      </c>
      <c r="E15" s="49">
        <f>Actual!E12</f>
        <v>163435</v>
      </c>
      <c r="F15" s="49">
        <f>Actual!F12</f>
        <v>168435</v>
      </c>
      <c r="G15" s="49">
        <f>Actual!G12</f>
        <v>163435</v>
      </c>
      <c r="H15" s="49">
        <f>Actual!H12</f>
        <v>168435</v>
      </c>
      <c r="I15" s="49">
        <f>Actual!I12</f>
        <v>0</v>
      </c>
      <c r="J15" s="49">
        <f>Actual!J12</f>
        <v>0</v>
      </c>
      <c r="K15" s="49">
        <f>Actual!K12</f>
        <v>0</v>
      </c>
      <c r="L15" s="49">
        <f>Actual!L12</f>
        <v>0</v>
      </c>
      <c r="M15" s="49">
        <f>Actual!M12</f>
        <v>0</v>
      </c>
      <c r="N15" s="49">
        <f>Actual!N12</f>
        <v>0</v>
      </c>
      <c r="O15" s="49">
        <f>Actual!O12</f>
        <v>0</v>
      </c>
      <c r="P15" s="49">
        <f>Actual!P12</f>
        <v>0</v>
      </c>
      <c r="Q15" s="49">
        <f>Actual!Q12</f>
        <v>0</v>
      </c>
    </row>
    <row r="16" spans="2:18" ht="15.6" x14ac:dyDescent="0.3">
      <c r="B16" s="26" t="s">
        <v>168</v>
      </c>
      <c r="C16" s="49">
        <f>Actual!C36+Actual!C52</f>
        <v>137719</v>
      </c>
      <c r="D16" s="49">
        <f>Actual!D36+Actual!D52</f>
        <v>151719</v>
      </c>
      <c r="E16" s="49">
        <f>Actual!E36+Actual!E52</f>
        <v>161719</v>
      </c>
      <c r="F16" s="49">
        <f>Actual!F36+Actual!F52</f>
        <v>161719</v>
      </c>
      <c r="G16" s="49">
        <f>Actual!G36+Actual!G52</f>
        <v>161719</v>
      </c>
      <c r="H16" s="49">
        <f>Actual!H36+Actual!H52</f>
        <v>166719</v>
      </c>
      <c r="I16" s="49">
        <f>Actual!I36+Actual!I52</f>
        <v>0</v>
      </c>
      <c r="J16" s="49">
        <f>Actual!J36+Actual!J52</f>
        <v>0</v>
      </c>
      <c r="K16" s="49">
        <f>Actual!K36+Actual!K52</f>
        <v>0</v>
      </c>
      <c r="L16" s="49">
        <f>Actual!L36+Actual!L52</f>
        <v>0</v>
      </c>
      <c r="M16" s="49">
        <f>Actual!M36+Actual!M52</f>
        <v>0</v>
      </c>
      <c r="N16" s="49">
        <f>Actual!N36+Actual!N52</f>
        <v>0</v>
      </c>
      <c r="O16" s="49">
        <f>Actual!O36+Actual!O52</f>
        <v>0</v>
      </c>
      <c r="P16" s="49">
        <f>Actual!P36+Actual!P52</f>
        <v>0</v>
      </c>
      <c r="Q16" s="49">
        <f>Actual!Q36+Actual!Q52</f>
        <v>0</v>
      </c>
    </row>
    <row r="17" spans="2:17" ht="15.6" x14ac:dyDescent="0.3">
      <c r="B17" s="3" t="s">
        <v>169</v>
      </c>
      <c r="C17" s="59">
        <f t="shared" ref="C17:F17" si="5">C15-C16</f>
        <v>42716</v>
      </c>
      <c r="D17" s="59">
        <f t="shared" si="5"/>
        <v>11716</v>
      </c>
      <c r="E17" s="59">
        <f t="shared" si="5"/>
        <v>1716</v>
      </c>
      <c r="F17" s="59">
        <f t="shared" si="5"/>
        <v>6716</v>
      </c>
      <c r="G17" s="59">
        <f>G15-G16</f>
        <v>1716</v>
      </c>
      <c r="H17" s="59">
        <f t="shared" ref="H17" si="6">H15-H16</f>
        <v>1716</v>
      </c>
      <c r="I17" s="59">
        <f t="shared" ref="I17" si="7">I15-I16</f>
        <v>0</v>
      </c>
      <c r="J17" s="59">
        <f t="shared" ref="J17" si="8">J15-J16</f>
        <v>0</v>
      </c>
      <c r="K17" s="59">
        <f t="shared" ref="K17" si="9">K15-K16</f>
        <v>0</v>
      </c>
      <c r="L17" s="59">
        <f t="shared" ref="L17" si="10">L15-L16</f>
        <v>0</v>
      </c>
      <c r="M17" s="59">
        <f t="shared" ref="M17" si="11">M15-M16</f>
        <v>0</v>
      </c>
      <c r="N17" s="59">
        <f t="shared" ref="N17" si="12">N15-N16</f>
        <v>0</v>
      </c>
      <c r="O17" s="59">
        <f t="shared" ref="O17" si="13">O15-O16</f>
        <v>0</v>
      </c>
      <c r="P17" s="59">
        <f t="shared" ref="P17" si="14">P15-P16</f>
        <v>0</v>
      </c>
      <c r="Q17" s="59">
        <f t="shared" ref="Q17" si="15">Q15-Q16</f>
        <v>0</v>
      </c>
    </row>
    <row r="20" spans="2:17" ht="15.6" x14ac:dyDescent="0.3">
      <c r="B20" s="18" t="s">
        <v>161</v>
      </c>
      <c r="C20" s="70">
        <f>C12</f>
        <v>45961</v>
      </c>
      <c r="D20" s="70">
        <f t="shared" ref="D20:Q20" si="16">D12</f>
        <v>45991</v>
      </c>
      <c r="E20" s="70">
        <f t="shared" si="16"/>
        <v>46022</v>
      </c>
      <c r="F20" s="70">
        <f t="shared" si="16"/>
        <v>46053</v>
      </c>
      <c r="G20" s="70">
        <f t="shared" si="16"/>
        <v>46081</v>
      </c>
      <c r="H20" s="70">
        <f t="shared" si="16"/>
        <v>46112</v>
      </c>
      <c r="I20" s="70">
        <f t="shared" si="16"/>
        <v>46142</v>
      </c>
      <c r="J20" s="70">
        <f t="shared" si="16"/>
        <v>46173</v>
      </c>
      <c r="K20" s="70">
        <f t="shared" si="16"/>
        <v>46203</v>
      </c>
      <c r="L20" s="70">
        <f t="shared" si="16"/>
        <v>46234</v>
      </c>
      <c r="M20" s="70">
        <f t="shared" si="16"/>
        <v>46265</v>
      </c>
      <c r="N20" s="70">
        <f t="shared" si="16"/>
        <v>46295</v>
      </c>
      <c r="O20" s="70">
        <f t="shared" si="16"/>
        <v>46326</v>
      </c>
      <c r="P20" s="70">
        <f t="shared" si="16"/>
        <v>46356</v>
      </c>
      <c r="Q20" s="70">
        <f t="shared" si="16"/>
        <v>46387</v>
      </c>
    </row>
    <row r="21" spans="2:17" ht="4.2" customHeight="1" x14ac:dyDescent="0.3"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</row>
    <row r="22" spans="2:17" ht="15.6" x14ac:dyDescent="0.3">
      <c r="B22" s="29" t="s">
        <v>170</v>
      </c>
      <c r="C22" s="58">
        <v>0</v>
      </c>
      <c r="D22" s="58">
        <v>0</v>
      </c>
      <c r="E22" s="58">
        <v>0</v>
      </c>
      <c r="F22" s="58">
        <v>0</v>
      </c>
      <c r="G22" s="58">
        <f ca="1">F25</f>
        <v>27458</v>
      </c>
      <c r="H22" s="58">
        <f t="shared" ref="H22:Q22" ca="1" si="17">G25</f>
        <v>7710</v>
      </c>
      <c r="I22" s="58">
        <f t="shared" ca="1" si="17"/>
        <v>4948</v>
      </c>
      <c r="J22" s="58">
        <f t="shared" ca="1" si="17"/>
        <v>-142</v>
      </c>
      <c r="K22" s="58">
        <f t="shared" ca="1" si="17"/>
        <v>5088</v>
      </c>
      <c r="L22" s="58">
        <f t="shared" ca="1" si="17"/>
        <v>5978</v>
      </c>
      <c r="M22" s="58">
        <f t="shared" ca="1" si="17"/>
        <v>13736</v>
      </c>
      <c r="N22" s="58">
        <f t="shared" ca="1" si="17"/>
        <v>-6326</v>
      </c>
      <c r="O22" s="58">
        <f t="shared" ca="1" si="17"/>
        <v>2938</v>
      </c>
      <c r="P22" s="58">
        <f t="shared" ca="1" si="17"/>
        <v>-6520</v>
      </c>
      <c r="Q22" s="58">
        <f t="shared" ca="1" si="17"/>
        <v>-2706</v>
      </c>
    </row>
    <row r="23" spans="2:17" ht="15.6" x14ac:dyDescent="0.3">
      <c r="B23" s="26" t="s">
        <v>171</v>
      </c>
      <c r="C23" s="49">
        <f ca="1">Variance!C12</f>
        <v>18978</v>
      </c>
      <c r="D23" s="49">
        <f ca="1">Variance!D12</f>
        <v>-624</v>
      </c>
      <c r="E23" s="49">
        <f ca="1">Variance!E12</f>
        <v>2322</v>
      </c>
      <c r="F23" s="49">
        <f ca="1">Variance!F12</f>
        <v>4906</v>
      </c>
      <c r="G23" s="49">
        <f ca="1">Variance!G12</f>
        <v>466</v>
      </c>
      <c r="H23" s="49">
        <f ca="1">Variance!H12</f>
        <v>6191</v>
      </c>
      <c r="I23" s="49">
        <f ca="1">Variance!I12</f>
        <v>-164668</v>
      </c>
      <c r="J23" s="49">
        <f ca="1">Variance!J12</f>
        <v>-163779</v>
      </c>
      <c r="K23" s="49">
        <f ca="1">Variance!K12</f>
        <v>-163454</v>
      </c>
      <c r="L23" s="49">
        <f ca="1">Variance!L12</f>
        <v>-170192</v>
      </c>
      <c r="M23" s="49">
        <f ca="1">Variance!M12</f>
        <v>-171629</v>
      </c>
      <c r="N23" s="49">
        <f ca="1">Variance!N12</f>
        <v>-171090</v>
      </c>
      <c r="O23" s="49">
        <f ca="1">Variance!O12</f>
        <v>-174425</v>
      </c>
      <c r="P23" s="49">
        <f ca="1">Variance!P12</f>
        <v>-171913</v>
      </c>
      <c r="Q23" s="49">
        <f ca="1">Variance!Q12</f>
        <v>-170109</v>
      </c>
    </row>
    <row r="24" spans="2:17" ht="15.6" x14ac:dyDescent="0.3">
      <c r="B24" s="61" t="s">
        <v>172</v>
      </c>
      <c r="C24" s="50">
        <f ca="1">Variance!C36+Variance!C52-Variance!C54</f>
        <v>-61530</v>
      </c>
      <c r="D24" s="50">
        <f ca="1">Variance!D36+Variance!D52-Variance!D54</f>
        <v>-27100</v>
      </c>
      <c r="E24" s="50">
        <f ca="1">Variance!E36+Variance!E52-Variance!E54</f>
        <v>-3142</v>
      </c>
      <c r="F24" s="50">
        <f ca="1">Variance!F36+Variance!F52-Variance!F54</f>
        <v>-22552</v>
      </c>
      <c r="G24" s="50">
        <f ca="1">Variance!G36+Variance!G52-Variance!G54</f>
        <v>-7244</v>
      </c>
      <c r="H24" s="50">
        <f ca="1">Variance!H36+Variance!H52-Variance!H54</f>
        <v>1243</v>
      </c>
      <c r="I24" s="50">
        <f ca="1">Variance!I36+Variance!I52-Variance!I54</f>
        <v>-164526</v>
      </c>
      <c r="J24" s="50">
        <f ca="1">Variance!J36+Variance!J52-Variance!J54</f>
        <v>-168867</v>
      </c>
      <c r="K24" s="50">
        <f ca="1">Variance!K36+Variance!K52-Variance!K54</f>
        <v>-169432</v>
      </c>
      <c r="L24" s="50">
        <f ca="1">Variance!L36+Variance!L52-Variance!L54</f>
        <v>-183928</v>
      </c>
      <c r="M24" s="50">
        <f ca="1">Variance!M36+Variance!M52-Variance!M54</f>
        <v>-165303</v>
      </c>
      <c r="N24" s="50">
        <f ca="1">Variance!N36+Variance!N52-Variance!N54</f>
        <v>-174028</v>
      </c>
      <c r="O24" s="50">
        <f ca="1">Variance!O36+Variance!O52-Variance!O54</f>
        <v>-167905</v>
      </c>
      <c r="P24" s="50">
        <f ca="1">Variance!P36+Variance!P52-Variance!P54</f>
        <v>-169207</v>
      </c>
      <c r="Q24" s="50">
        <f ca="1">Variance!Q36+Variance!Q52-Variance!Q54</f>
        <v>-180659</v>
      </c>
    </row>
    <row r="25" spans="2:17" ht="15.6" x14ac:dyDescent="0.3">
      <c r="B25" s="62" t="s">
        <v>173</v>
      </c>
      <c r="C25" s="63">
        <f t="shared" ref="C25:E25" ca="1" si="18">C23-C24</f>
        <v>80508</v>
      </c>
      <c r="D25" s="63">
        <f t="shared" ca="1" si="18"/>
        <v>26476</v>
      </c>
      <c r="E25" s="63">
        <f t="shared" ca="1" si="18"/>
        <v>5464</v>
      </c>
      <c r="F25" s="63">
        <f ca="1">F23-F24</f>
        <v>27458</v>
      </c>
      <c r="G25" s="63">
        <f t="shared" ref="G25" ca="1" si="19">G23-G24</f>
        <v>7710</v>
      </c>
      <c r="H25" s="63">
        <f t="shared" ref="H25" ca="1" si="20">H23-H24</f>
        <v>4948</v>
      </c>
      <c r="I25" s="63">
        <f t="shared" ref="I25" ca="1" si="21">I23-I24</f>
        <v>-142</v>
      </c>
      <c r="J25" s="63">
        <f t="shared" ref="J25" ca="1" si="22">J23-J24</f>
        <v>5088</v>
      </c>
      <c r="K25" s="63">
        <f t="shared" ref="K25" ca="1" si="23">K23-K24</f>
        <v>5978</v>
      </c>
      <c r="L25" s="63">
        <f t="shared" ref="L25" ca="1" si="24">L23-L24</f>
        <v>13736</v>
      </c>
      <c r="M25" s="63">
        <f t="shared" ref="M25" ca="1" si="25">M23-M24</f>
        <v>-6326</v>
      </c>
      <c r="N25" s="63">
        <f t="shared" ref="N25" ca="1" si="26">N23-N24</f>
        <v>2938</v>
      </c>
      <c r="O25" s="63">
        <f t="shared" ref="O25" ca="1" si="27">O23-O24</f>
        <v>-6520</v>
      </c>
      <c r="P25" s="63">
        <f t="shared" ref="P25" ca="1" si="28">P23-P24</f>
        <v>-2706</v>
      </c>
      <c r="Q25" s="63">
        <f t="shared" ref="Q25" ca="1" si="29">Q23-Q24</f>
        <v>10550</v>
      </c>
    </row>
    <row r="28" spans="2:17" x14ac:dyDescent="0.3">
      <c r="B28" s="72" t="s">
        <v>184</v>
      </c>
    </row>
    <row r="29" spans="2:17" x14ac:dyDescent="0.3">
      <c r="B29" t="s">
        <v>252</v>
      </c>
    </row>
    <row r="30" spans="2:17" x14ac:dyDescent="0.3">
      <c r="B30" t="s">
        <v>253</v>
      </c>
    </row>
    <row r="31" spans="2:17" x14ac:dyDescent="0.3">
      <c r="B31" t="s">
        <v>254</v>
      </c>
    </row>
    <row r="32" spans="2:17" x14ac:dyDescent="0.3">
      <c r="B32" t="s">
        <v>255</v>
      </c>
    </row>
  </sheetData>
  <mergeCells count="1">
    <mergeCell ref="B2:Q2"/>
  </mergeCells>
  <printOptions horizontalCentered="1" verticalCentered="1"/>
  <pageMargins left="0.39370078740157483" right="0.39370078740157483" top="0.39370078740157483" bottom="0.39370078740157483" header="0.31496062992125984" footer="0.31496062992125984"/>
  <pageSetup paperSize="9" scale="68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0EC97-1A9F-4077-8652-D78DA43F7640}">
  <sheetPr codeName="Sheet5">
    <pageSetUpPr fitToPage="1"/>
  </sheetPr>
  <dimension ref="A1:Q58"/>
  <sheetViews>
    <sheetView showGridLines="0" view="pageBreakPreview" topLeftCell="A34" zoomScaleNormal="110" workbookViewId="0">
      <selection activeCell="E61" sqref="E61"/>
    </sheetView>
  </sheetViews>
  <sheetFormatPr defaultRowHeight="15.6" x14ac:dyDescent="0.3"/>
  <cols>
    <col min="1" max="1" width="2.33203125" style="11" customWidth="1"/>
    <col min="2" max="2" width="27.33203125" bestFit="1" customWidth="1"/>
    <col min="3" max="3" width="11.5546875" bestFit="1" customWidth="1"/>
    <col min="4" max="4" width="11.77734375" bestFit="1" customWidth="1"/>
    <col min="5" max="17" width="11.88671875" bestFit="1" customWidth="1"/>
  </cols>
  <sheetData>
    <row r="1" spans="1:17" ht="9" customHeight="1" x14ac:dyDescent="0.3"/>
    <row r="2" spans="1:17" ht="24" customHeight="1" x14ac:dyDescent="0.3">
      <c r="B2" s="109" t="s">
        <v>158</v>
      </c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</row>
    <row r="3" spans="1:17" ht="4.8" customHeight="1" x14ac:dyDescent="0.3"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</row>
    <row r="4" spans="1:17" x14ac:dyDescent="0.3">
      <c r="A4" s="11" t="s">
        <v>140</v>
      </c>
      <c r="B4" s="18" t="s">
        <v>126</v>
      </c>
      <c r="C4" s="41" t="s">
        <v>181</v>
      </c>
      <c r="D4" s="41" t="s">
        <v>182</v>
      </c>
      <c r="E4" s="41" t="s">
        <v>183</v>
      </c>
      <c r="F4" s="41" t="s">
        <v>144</v>
      </c>
      <c r="G4" s="41" t="s">
        <v>145</v>
      </c>
      <c r="H4" s="41" t="s">
        <v>146</v>
      </c>
      <c r="I4" s="41" t="s">
        <v>147</v>
      </c>
      <c r="J4" s="41" t="s">
        <v>148</v>
      </c>
      <c r="K4" s="41" t="s">
        <v>149</v>
      </c>
      <c r="L4" s="41" t="s">
        <v>150</v>
      </c>
      <c r="M4" s="41" t="s">
        <v>151</v>
      </c>
      <c r="N4" s="41" t="s">
        <v>152</v>
      </c>
      <c r="O4" s="41" t="s">
        <v>153</v>
      </c>
      <c r="P4" s="41" t="s">
        <v>154</v>
      </c>
      <c r="Q4" s="41" t="s">
        <v>155</v>
      </c>
    </row>
    <row r="5" spans="1:17" ht="4.2" customHeight="1" x14ac:dyDescent="0.3">
      <c r="B5" s="1"/>
      <c r="C5" s="1"/>
      <c r="D5" s="1"/>
      <c r="E5" s="1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</row>
    <row r="6" spans="1:17" x14ac:dyDescent="0.3">
      <c r="B6" s="27" t="s">
        <v>0</v>
      </c>
      <c r="C6" s="49">
        <f>Actual[[#This Row],[Oct-25]]-Budget[[#This Row],[Oct-25]]</f>
        <v>7000</v>
      </c>
      <c r="D6" s="49">
        <f>Actual[[#This Row],[Nov-25]]-Budget[[#This Row],[Nov-25]]</f>
        <v>0</v>
      </c>
      <c r="E6" s="49">
        <f>Actual[[#This Row],[Dec-25]]-Budget[[#This Row],[Dec-25]]</f>
        <v>0</v>
      </c>
      <c r="F6" s="49">
        <f>Actual[[#This Row],[Jan-26]]-Budget[[#This Row],[Jan-26]]</f>
        <v>5000</v>
      </c>
      <c r="G6" s="49">
        <f>Actual[[#This Row],[Feb-26]]-Budget[[#This Row],[Feb-26]]</f>
        <v>0</v>
      </c>
      <c r="H6" s="49">
        <f>Actual[[#This Row],[Mar-26]]-Budget[[#This Row],[Mar-26]]</f>
        <v>5000</v>
      </c>
      <c r="I6" s="49">
        <f>Actual[[#This Row],[Apr-26]]-Budget[[#This Row],[Apr-26]]</f>
        <v>-120000</v>
      </c>
      <c r="J6" s="49">
        <f>Actual[[#This Row],[May-26]]-Budget[[#This Row],[May-26]]</f>
        <v>-120000</v>
      </c>
      <c r="K6" s="49">
        <f>Actual[[#This Row],[Jun-26]]-Budget[[#This Row],[Jun-26]]</f>
        <v>-120000</v>
      </c>
      <c r="L6" s="49">
        <f>Actual[[#This Row],[Jul-26]]-Budget[[#This Row],[Jul-26]]</f>
        <v>-125000</v>
      </c>
      <c r="M6" s="49">
        <f>Actual[[#This Row],[Aug-26]]-Budget[[#This Row],[Aug-26]]</f>
        <v>-125000</v>
      </c>
      <c r="N6" s="49">
        <f>Actual[[#This Row],[Sep-26]]-Budget[[#This Row],[Sep-26]]</f>
        <v>-125000</v>
      </c>
      <c r="O6" s="49">
        <f>Actual[[#This Row],[Oct-26]]-Budget[[#This Row],[Oct-26]]</f>
        <v>-125000</v>
      </c>
      <c r="P6" s="49">
        <f>Actual[[#This Row],[Nov-26]]-Budget[[#This Row],[Nov-26]]</f>
        <v>-125000</v>
      </c>
      <c r="Q6" s="49">
        <f>Actual[[#This Row],[Dec-26]]-Budget[[#This Row],[Dec-26]]</f>
        <v>-125000</v>
      </c>
    </row>
    <row r="7" spans="1:17" x14ac:dyDescent="0.3">
      <c r="B7" s="27" t="s">
        <v>4</v>
      </c>
      <c r="C7" s="49">
        <f ca="1">Actual[[#This Row],[Oct-25]]-Budget[[#This Row],[Oct-25]]</f>
        <v>8817</v>
      </c>
      <c r="D7" s="49">
        <f ca="1">Actual[[#This Row],[Nov-25]]-Budget[[#This Row],[Nov-25]]</f>
        <v>-1765</v>
      </c>
      <c r="E7" s="49">
        <f ca="1">Actual[[#This Row],[Dec-25]]-Budget[[#This Row],[Dec-25]]</f>
        <v>-895</v>
      </c>
      <c r="F7" s="49">
        <f ca="1">Actual[[#This Row],[Jan-26]]-Budget[[#This Row],[Jan-26]]</f>
        <v>-583</v>
      </c>
      <c r="G7" s="49">
        <f ca="1">Actual[[#This Row],[Feb-26]]-Budget[[#This Row],[Feb-26]]</f>
        <v>-468</v>
      </c>
      <c r="H7" s="49">
        <f ca="1">Actual[[#This Row],[Mar-26]]-Budget[[#This Row],[Mar-26]]</f>
        <v>-1182</v>
      </c>
      <c r="I7" s="49">
        <f ca="1">Actual[[#This Row],[Apr-26]]-Budget[[#This Row],[Apr-26]]</f>
        <v>-11819</v>
      </c>
      <c r="J7" s="49">
        <f ca="1">Actual[[#This Row],[May-26]]-Budget[[#This Row],[May-26]]</f>
        <v>-10593</v>
      </c>
      <c r="K7" s="49">
        <f ca="1">Actual[[#This Row],[Jun-26]]-Budget[[#This Row],[Jun-26]]</f>
        <v>-11439</v>
      </c>
      <c r="L7" s="49">
        <f ca="1">Actual[[#This Row],[Jul-26]]-Budget[[#This Row],[Jul-26]]</f>
        <v>-10795</v>
      </c>
      <c r="M7" s="49">
        <f ca="1">Actual[[#This Row],[Aug-26]]-Budget[[#This Row],[Aug-26]]</f>
        <v>-10787</v>
      </c>
      <c r="N7" s="49">
        <f ca="1">Actual[[#This Row],[Sep-26]]-Budget[[#This Row],[Sep-26]]</f>
        <v>-10800</v>
      </c>
      <c r="O7" s="49">
        <f ca="1">Actual[[#This Row],[Oct-26]]-Budget[[#This Row],[Oct-26]]</f>
        <v>-11932</v>
      </c>
      <c r="P7" s="49">
        <f ca="1">Actual[[#This Row],[Nov-26]]-Budget[[#This Row],[Nov-26]]</f>
        <v>-10721</v>
      </c>
      <c r="Q7" s="49">
        <f ca="1">Actual[[#This Row],[Dec-26]]-Budget[[#This Row],[Dec-26]]</f>
        <v>-10361</v>
      </c>
    </row>
    <row r="8" spans="1:17" x14ac:dyDescent="0.3">
      <c r="B8" s="27" t="s">
        <v>9</v>
      </c>
      <c r="C8" s="49">
        <f ca="1">Actual[[#This Row],[Oct-25]]-Budget[[#This Row],[Oct-25]]</f>
        <v>1555</v>
      </c>
      <c r="D8" s="49">
        <f ca="1">Actual[[#This Row],[Nov-25]]-Budget[[#This Row],[Nov-25]]</f>
        <v>902</v>
      </c>
      <c r="E8" s="49">
        <f ca="1">Actual[[#This Row],[Dec-25]]-Budget[[#This Row],[Dec-25]]</f>
        <v>1275</v>
      </c>
      <c r="F8" s="49">
        <f ca="1">Actual[[#This Row],[Jan-26]]-Budget[[#This Row],[Jan-26]]</f>
        <v>-857</v>
      </c>
      <c r="G8" s="49">
        <f ca="1">Actual[[#This Row],[Feb-26]]-Budget[[#This Row],[Feb-26]]</f>
        <v>61</v>
      </c>
      <c r="H8" s="49">
        <f ca="1">Actual[[#This Row],[Mar-26]]-Budget[[#This Row],[Mar-26]]</f>
        <v>1709</v>
      </c>
      <c r="I8" s="49">
        <f ca="1">Actual[[#This Row],[Apr-26]]-Budget[[#This Row],[Apr-26]]</f>
        <v>-12636</v>
      </c>
      <c r="J8" s="49">
        <f ca="1">Actual[[#This Row],[May-26]]-Budget[[#This Row],[May-26]]</f>
        <v>-14031</v>
      </c>
      <c r="K8" s="49">
        <f ca="1">Actual[[#This Row],[Jun-26]]-Budget[[#This Row],[Jun-26]]</f>
        <v>-14436</v>
      </c>
      <c r="L8" s="49">
        <f ca="1">Actual[[#This Row],[Jul-26]]-Budget[[#This Row],[Jul-26]]</f>
        <v>-12599</v>
      </c>
      <c r="M8" s="49">
        <f ca="1">Actual[[#This Row],[Aug-26]]-Budget[[#This Row],[Aug-26]]</f>
        <v>-14056</v>
      </c>
      <c r="N8" s="49">
        <f ca="1">Actual[[#This Row],[Sep-26]]-Budget[[#This Row],[Sep-26]]</f>
        <v>-12594</v>
      </c>
      <c r="O8" s="49">
        <f ca="1">Actual[[#This Row],[Oct-26]]-Budget[[#This Row],[Oct-26]]</f>
        <v>-14988</v>
      </c>
      <c r="P8" s="49">
        <f ca="1">Actual[[#This Row],[Nov-26]]-Budget[[#This Row],[Nov-26]]</f>
        <v>-13537</v>
      </c>
      <c r="Q8" s="49">
        <f ca="1">Actual[[#This Row],[Dec-26]]-Budget[[#This Row],[Dec-26]]</f>
        <v>-12045</v>
      </c>
    </row>
    <row r="9" spans="1:17" x14ac:dyDescent="0.3">
      <c r="B9" s="27" t="s">
        <v>14</v>
      </c>
      <c r="C9" s="49">
        <f ca="1">Actual[[#This Row],[Oct-25]]-Budget[[#This Row],[Oct-25]]</f>
        <v>-783</v>
      </c>
      <c r="D9" s="49">
        <f ca="1">Actual[[#This Row],[Nov-25]]-Budget[[#This Row],[Nov-25]]</f>
        <v>-1131</v>
      </c>
      <c r="E9" s="49">
        <f ca="1">Actual[[#This Row],[Dec-25]]-Budget[[#This Row],[Dec-25]]</f>
        <v>-104</v>
      </c>
      <c r="F9" s="49">
        <f ca="1">Actual[[#This Row],[Jan-26]]-Budget[[#This Row],[Jan-26]]</f>
        <v>-247</v>
      </c>
      <c r="G9" s="49">
        <f ca="1">Actual[[#This Row],[Feb-26]]-Budget[[#This Row],[Feb-26]]</f>
        <v>-753</v>
      </c>
      <c r="H9" s="49">
        <f ca="1">Actual[[#This Row],[Mar-26]]-Budget[[#This Row],[Mar-26]]</f>
        <v>-597</v>
      </c>
      <c r="I9" s="49">
        <f ca="1">Actual[[#This Row],[Apr-26]]-Budget[[#This Row],[Apr-26]]</f>
        <v>-2225</v>
      </c>
      <c r="J9" s="49">
        <f ca="1">Actual[[#This Row],[May-26]]-Budget[[#This Row],[May-26]]</f>
        <v>-1658</v>
      </c>
      <c r="K9" s="49">
        <f ca="1">Actual[[#This Row],[Jun-26]]-Budget[[#This Row],[Jun-26]]</f>
        <v>-1475</v>
      </c>
      <c r="L9" s="49">
        <f ca="1">Actual[[#This Row],[Jul-26]]-Budget[[#This Row],[Jul-26]]</f>
        <v>-1242</v>
      </c>
      <c r="M9" s="49">
        <f ca="1">Actual[[#This Row],[Aug-26]]-Budget[[#This Row],[Aug-26]]</f>
        <v>-2108</v>
      </c>
      <c r="N9" s="49">
        <f ca="1">Actual[[#This Row],[Sep-26]]-Budget[[#This Row],[Sep-26]]</f>
        <v>-2096</v>
      </c>
      <c r="O9" s="49">
        <f ca="1">Actual[[#This Row],[Oct-26]]-Budget[[#This Row],[Oct-26]]</f>
        <v>-2350</v>
      </c>
      <c r="P9" s="49">
        <f ca="1">Actual[[#This Row],[Nov-26]]-Budget[[#This Row],[Nov-26]]</f>
        <v>-1698</v>
      </c>
      <c r="Q9" s="49">
        <f ca="1">Actual[[#This Row],[Dec-26]]-Budget[[#This Row],[Dec-26]]</f>
        <v>-2274</v>
      </c>
    </row>
    <row r="10" spans="1:17" x14ac:dyDescent="0.3">
      <c r="B10" s="27" t="s">
        <v>17</v>
      </c>
      <c r="C10" s="49">
        <f>Actual[[#This Row],[Oct-25]]-Budget[[#This Row],[Oct-25]]</f>
        <v>0</v>
      </c>
      <c r="D10" s="49">
        <f>Actual[[#This Row],[Nov-25]]-Budget[[#This Row],[Nov-25]]</f>
        <v>-1</v>
      </c>
      <c r="E10" s="49">
        <f>Actual[[#This Row],[Dec-25]]-Budget[[#This Row],[Dec-25]]</f>
        <v>-2</v>
      </c>
      <c r="F10" s="49">
        <f>Actual[[#This Row],[Jan-26]]-Budget[[#This Row],[Jan-26]]</f>
        <v>-3</v>
      </c>
      <c r="G10" s="49">
        <f>Actual[[#This Row],[Feb-26]]-Budget[[#This Row],[Feb-26]]</f>
        <v>-3</v>
      </c>
      <c r="H10" s="49">
        <f>Actual[[#This Row],[Mar-26]]-Budget[[#This Row],[Mar-26]]</f>
        <v>-3</v>
      </c>
      <c r="I10" s="49">
        <f>Actual[[#This Row],[Apr-26]]-Budget[[#This Row],[Apr-26]]</f>
        <v>-15000</v>
      </c>
      <c r="J10" s="49">
        <f>Actual[[#This Row],[May-26]]-Budget[[#This Row],[May-26]]</f>
        <v>-15000</v>
      </c>
      <c r="K10" s="49">
        <f>Actual[[#This Row],[Jun-26]]-Budget[[#This Row],[Jun-26]]</f>
        <v>-15000</v>
      </c>
      <c r="L10" s="49">
        <f>Actual[[#This Row],[Jul-26]]-Budget[[#This Row],[Jul-26]]</f>
        <v>-18000</v>
      </c>
      <c r="M10" s="49">
        <f>Actual[[#This Row],[Aug-26]]-Budget[[#This Row],[Aug-26]]</f>
        <v>-18000</v>
      </c>
      <c r="N10" s="49">
        <f>Actual[[#This Row],[Sep-26]]-Budget[[#This Row],[Sep-26]]</f>
        <v>-18000</v>
      </c>
      <c r="O10" s="49">
        <f>Actual[[#This Row],[Oct-26]]-Budget[[#This Row],[Oct-26]]</f>
        <v>-18000</v>
      </c>
      <c r="P10" s="49">
        <f>Actual[[#This Row],[Nov-26]]-Budget[[#This Row],[Nov-26]]</f>
        <v>-18000</v>
      </c>
      <c r="Q10" s="49">
        <f>Actual[[#This Row],[Dec-26]]-Budget[[#This Row],[Dec-26]]</f>
        <v>-18000</v>
      </c>
    </row>
    <row r="11" spans="1:17" x14ac:dyDescent="0.3">
      <c r="B11" s="10" t="s">
        <v>18</v>
      </c>
      <c r="C11" s="49">
        <f ca="1">Actual[[#This Row],[Oct-25]]-Budget[[#This Row],[Oct-25]]</f>
        <v>2389</v>
      </c>
      <c r="D11" s="49">
        <f ca="1">Actual[[#This Row],[Nov-25]]-Budget[[#This Row],[Nov-25]]</f>
        <v>1371</v>
      </c>
      <c r="E11" s="49">
        <f ca="1">Actual[[#This Row],[Dec-25]]-Budget[[#This Row],[Dec-25]]</f>
        <v>2048</v>
      </c>
      <c r="F11" s="60">
        <f ca="1">Actual[[#This Row],[Jan-26]]-Budget[[#This Row],[Jan-26]]</f>
        <v>1596</v>
      </c>
      <c r="G11" s="60">
        <f ca="1">Actual[[#This Row],[Feb-26]]-Budget[[#This Row],[Feb-26]]</f>
        <v>1629</v>
      </c>
      <c r="H11" s="60">
        <f ca="1">Actual[[#This Row],[Mar-26]]-Budget[[#This Row],[Mar-26]]</f>
        <v>1264</v>
      </c>
      <c r="I11" s="60">
        <f ca="1">Actual[[#This Row],[Apr-26]]-Budget[[#This Row],[Apr-26]]</f>
        <v>-2988</v>
      </c>
      <c r="J11" s="60">
        <f ca="1">Actual[[#This Row],[May-26]]-Budget[[#This Row],[May-26]]</f>
        <v>-2497</v>
      </c>
      <c r="K11" s="60">
        <f ca="1">Actual[[#This Row],[Jun-26]]-Budget[[#This Row],[Jun-26]]</f>
        <v>-1104</v>
      </c>
      <c r="L11" s="60">
        <f ca="1">Actual[[#This Row],[Jul-26]]-Budget[[#This Row],[Jul-26]]</f>
        <v>-2556</v>
      </c>
      <c r="M11" s="60">
        <f ca="1">Actual[[#This Row],[Aug-26]]-Budget[[#This Row],[Aug-26]]</f>
        <v>-1678</v>
      </c>
      <c r="N11" s="60">
        <f ca="1">Actual[[#This Row],[Sep-26]]-Budget[[#This Row],[Sep-26]]</f>
        <v>-2600</v>
      </c>
      <c r="O11" s="60">
        <f ca="1">Actual[[#This Row],[Oct-26]]-Budget[[#This Row],[Oct-26]]</f>
        <v>-2155</v>
      </c>
      <c r="P11" s="60">
        <f ca="1">Actual[[#This Row],[Nov-26]]-Budget[[#This Row],[Nov-26]]</f>
        <v>-2957</v>
      </c>
      <c r="Q11" s="60">
        <f ca="1">Actual[[#This Row],[Dec-26]]-Budget[[#This Row],[Dec-26]]</f>
        <v>-2429</v>
      </c>
    </row>
    <row r="12" spans="1:17" x14ac:dyDescent="0.3">
      <c r="A12" s="11" t="s">
        <v>134</v>
      </c>
      <c r="B12" s="51" t="s">
        <v>2</v>
      </c>
      <c r="C12" s="51">
        <f ca="1">Actual[[#This Row],[Oct-25]]-Budget[[#This Row],[Oct-25]]</f>
        <v>18978</v>
      </c>
      <c r="D12" s="51">
        <f ca="1">Actual[[#This Row],[Nov-25]]-Budget[[#This Row],[Nov-25]]</f>
        <v>-624</v>
      </c>
      <c r="E12" s="51">
        <f ca="1">Actual[[#This Row],[Dec-25]]-Budget[[#This Row],[Dec-25]]</f>
        <v>2322</v>
      </c>
      <c r="F12" s="51">
        <f ca="1">Actual[[#This Row],[Jan-26]]-Budget[[#This Row],[Jan-26]]</f>
        <v>4906</v>
      </c>
      <c r="G12" s="51">
        <f ca="1">Actual[[#This Row],[Feb-26]]-Budget[[#This Row],[Feb-26]]</f>
        <v>466</v>
      </c>
      <c r="H12" s="51">
        <f ca="1">Actual[[#This Row],[Mar-26]]-Budget[[#This Row],[Mar-26]]</f>
        <v>6191</v>
      </c>
      <c r="I12" s="51">
        <f ca="1">Actual[[#This Row],[Apr-26]]-Budget[[#This Row],[Apr-26]]</f>
        <v>-164668</v>
      </c>
      <c r="J12" s="51">
        <f ca="1">Actual[[#This Row],[May-26]]-Budget[[#This Row],[May-26]]</f>
        <v>-163779</v>
      </c>
      <c r="K12" s="51">
        <f ca="1">Actual[[#This Row],[Jun-26]]-Budget[[#This Row],[Jun-26]]</f>
        <v>-163454</v>
      </c>
      <c r="L12" s="51">
        <f ca="1">Actual[[#This Row],[Jul-26]]-Budget[[#This Row],[Jul-26]]</f>
        <v>-170192</v>
      </c>
      <c r="M12" s="51">
        <f ca="1">Actual[[#This Row],[Aug-26]]-Budget[[#This Row],[Aug-26]]</f>
        <v>-171629</v>
      </c>
      <c r="N12" s="51">
        <f ca="1">Actual[[#This Row],[Sep-26]]-Budget[[#This Row],[Sep-26]]</f>
        <v>-171090</v>
      </c>
      <c r="O12" s="51">
        <f ca="1">Actual[[#This Row],[Oct-26]]-Budget[[#This Row],[Oct-26]]</f>
        <v>-174425</v>
      </c>
      <c r="P12" s="51">
        <f ca="1">Actual[[#This Row],[Nov-26]]-Budget[[#This Row],[Nov-26]]</f>
        <v>-171913</v>
      </c>
      <c r="Q12" s="51">
        <f ca="1">Actual[[#This Row],[Dec-26]]-Budget[[#This Row],[Dec-26]]</f>
        <v>-170109</v>
      </c>
    </row>
    <row r="13" spans="1:17" x14ac:dyDescent="0.3">
      <c r="B13" s="2"/>
      <c r="C13" s="2"/>
      <c r="D13" s="2"/>
      <c r="E13" s="2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</row>
    <row r="14" spans="1:17" x14ac:dyDescent="0.3">
      <c r="B14" s="18" t="s">
        <v>22</v>
      </c>
      <c r="C14" s="18"/>
      <c r="D14" s="18"/>
      <c r="E14" s="18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</row>
    <row r="15" spans="1:17" ht="4.2" customHeight="1" x14ac:dyDescent="0.3">
      <c r="B15" s="12"/>
      <c r="C15" s="12"/>
      <c r="D15" s="12"/>
      <c r="E15" s="12"/>
      <c r="F15" s="13"/>
      <c r="G15" s="13"/>
      <c r="H15" s="13"/>
      <c r="I15" s="23"/>
      <c r="J15" s="13"/>
      <c r="K15" s="13"/>
      <c r="L15" s="13"/>
      <c r="M15" s="13"/>
      <c r="N15" s="13"/>
      <c r="O15" s="13"/>
      <c r="P15" s="13"/>
      <c r="Q15" s="13"/>
    </row>
    <row r="16" spans="1:17" x14ac:dyDescent="0.3">
      <c r="B16" s="27" t="s">
        <v>1</v>
      </c>
      <c r="C16" s="49">
        <f>Actual[[#This Row],[Oct-25]]-Budget[[#This Row],[Oct-25]]</f>
        <v>3</v>
      </c>
      <c r="D16" s="49">
        <f>Actual[[#This Row],[Nov-25]]-Budget[[#This Row],[Nov-25]]</f>
        <v>2</v>
      </c>
      <c r="E16" s="49">
        <f>Actual[[#This Row],[Dec-25]]-Budget[[#This Row],[Dec-25]]</f>
        <v>1</v>
      </c>
      <c r="F16" s="49">
        <f>Actual[[#This Row],[Jan-26]]-Budget[[#This Row],[Jan-26]]</f>
        <v>0</v>
      </c>
      <c r="G16" s="49">
        <f>Actual[[#This Row],[Feb-26]]-Budget[[#This Row],[Feb-26]]</f>
        <v>0</v>
      </c>
      <c r="H16" s="49">
        <f>Actual[[#This Row],[Mar-26]]-Budget[[#This Row],[Mar-26]]</f>
        <v>5000</v>
      </c>
      <c r="I16" s="49">
        <f>Actual[[#This Row],[Apr-26]]-Budget[[#This Row],[Apr-26]]</f>
        <v>-35000</v>
      </c>
      <c r="J16" s="49">
        <f>Actual[[#This Row],[May-26]]-Budget[[#This Row],[May-26]]</f>
        <v>-35000</v>
      </c>
      <c r="K16" s="49">
        <f>Actual[[#This Row],[Jun-26]]-Budget[[#This Row],[Jun-26]]</f>
        <v>-35000</v>
      </c>
      <c r="L16" s="49">
        <f>Actual[[#This Row],[Jul-26]]-Budget[[#This Row],[Jul-26]]</f>
        <v>-40000</v>
      </c>
      <c r="M16" s="49">
        <f>Actual[[#This Row],[Aug-26]]-Budget[[#This Row],[Aug-26]]</f>
        <v>-40000</v>
      </c>
      <c r="N16" s="49">
        <f>Actual[[#This Row],[Sep-26]]-Budget[[#This Row],[Sep-26]]</f>
        <v>-40000</v>
      </c>
      <c r="O16" s="49">
        <f>Actual[[#This Row],[Oct-26]]-Budget[[#This Row],[Oct-26]]</f>
        <v>-40000</v>
      </c>
      <c r="P16" s="49">
        <f>Actual[[#This Row],[Nov-26]]-Budget[[#This Row],[Nov-26]]</f>
        <v>-40000</v>
      </c>
      <c r="Q16" s="49">
        <f>Actual[[#This Row],[Dec-26]]-Budget[[#This Row],[Dec-26]]</f>
        <v>-40000</v>
      </c>
    </row>
    <row r="17" spans="1:17" x14ac:dyDescent="0.3">
      <c r="B17" s="27" t="s">
        <v>26</v>
      </c>
      <c r="C17" s="49">
        <f ca="1">Actual[[#This Row],[Oct-25]]-Budget[[#This Row],[Oct-25]]</f>
        <v>-373</v>
      </c>
      <c r="D17" s="49">
        <f ca="1">Actual[[#This Row],[Nov-25]]-Budget[[#This Row],[Nov-25]]</f>
        <v>-151</v>
      </c>
      <c r="E17" s="49">
        <f ca="1">Actual[[#This Row],[Dec-25]]-Budget[[#This Row],[Dec-25]]</f>
        <v>-952</v>
      </c>
      <c r="F17" s="49">
        <f ca="1">Actual[[#This Row],[Jan-26]]-Budget[[#This Row],[Jan-26]]</f>
        <v>-591</v>
      </c>
      <c r="G17" s="49">
        <f ca="1">Actual[[#This Row],[Feb-26]]-Budget[[#This Row],[Feb-26]]</f>
        <v>-434</v>
      </c>
      <c r="H17" s="49">
        <f ca="1">Actual[[#This Row],[Mar-26]]-Budget[[#This Row],[Mar-26]]</f>
        <v>1437</v>
      </c>
      <c r="I17" s="49">
        <f ca="1">Actual[[#This Row],[Apr-26]]-Budget[[#This Row],[Apr-26]]</f>
        <v>-7706</v>
      </c>
      <c r="J17" s="49">
        <f ca="1">Actual[[#This Row],[May-26]]-Budget[[#This Row],[May-26]]</f>
        <v>-7295</v>
      </c>
      <c r="K17" s="49">
        <f ca="1">Actual[[#This Row],[Jun-26]]-Budget[[#This Row],[Jun-26]]</f>
        <v>-7024</v>
      </c>
      <c r="L17" s="49">
        <f ca="1">Actual[[#This Row],[Jul-26]]-Budget[[#This Row],[Jul-26]]</f>
        <v>-8281</v>
      </c>
      <c r="M17" s="49">
        <f ca="1">Actual[[#This Row],[Aug-26]]-Budget[[#This Row],[Aug-26]]</f>
        <v>-5276</v>
      </c>
      <c r="N17" s="49">
        <f ca="1">Actual[[#This Row],[Sep-26]]-Budget[[#This Row],[Sep-26]]</f>
        <v>-6457</v>
      </c>
      <c r="O17" s="49">
        <f ca="1">Actual[[#This Row],[Oct-26]]-Budget[[#This Row],[Oct-26]]</f>
        <v>-7715</v>
      </c>
      <c r="P17" s="49">
        <f ca="1">Actual[[#This Row],[Nov-26]]-Budget[[#This Row],[Nov-26]]</f>
        <v>-7042</v>
      </c>
      <c r="Q17" s="49">
        <f ca="1">Actual[[#This Row],[Dec-26]]-Budget[[#This Row],[Dec-26]]</f>
        <v>-5713</v>
      </c>
    </row>
    <row r="18" spans="1:17" x14ac:dyDescent="0.3">
      <c r="B18" s="27" t="s">
        <v>32</v>
      </c>
      <c r="C18" s="49">
        <f>Actual[[#This Row],[Oct-25]]-Budget[[#This Row],[Oct-25]]</f>
        <v>0</v>
      </c>
      <c r="D18" s="49">
        <f>Actual[[#This Row],[Nov-25]]-Budget[[#This Row],[Nov-25]]</f>
        <v>0</v>
      </c>
      <c r="E18" s="49">
        <f>Actual[[#This Row],[Dec-25]]-Budget[[#This Row],[Dec-25]]</f>
        <v>0</v>
      </c>
      <c r="F18" s="49">
        <f>Actual[[#This Row],[Jan-26]]-Budget[[#This Row],[Jan-26]]</f>
        <v>0</v>
      </c>
      <c r="G18" s="49">
        <f>Actual[[#This Row],[Feb-26]]-Budget[[#This Row],[Feb-26]]</f>
        <v>0</v>
      </c>
      <c r="H18" s="49">
        <f>Actual[[#This Row],[Mar-26]]-Budget[[#This Row],[Mar-26]]</f>
        <v>0</v>
      </c>
      <c r="I18" s="49">
        <f>Actual[[#This Row],[Apr-26]]-Budget[[#This Row],[Apr-26]]</f>
        <v>-5000</v>
      </c>
      <c r="J18" s="49">
        <f>Actual[[#This Row],[May-26]]-Budget[[#This Row],[May-26]]</f>
        <v>-5000</v>
      </c>
      <c r="K18" s="49">
        <f>Actual[[#This Row],[Jun-26]]-Budget[[#This Row],[Jun-26]]</f>
        <v>-5000</v>
      </c>
      <c r="L18" s="49">
        <f>Actual[[#This Row],[Jul-26]]-Budget[[#This Row],[Jul-26]]</f>
        <v>-5000</v>
      </c>
      <c r="M18" s="49">
        <f>Actual[[#This Row],[Aug-26]]-Budget[[#This Row],[Aug-26]]</f>
        <v>-5000</v>
      </c>
      <c r="N18" s="49">
        <f>Actual[[#This Row],[Sep-26]]-Budget[[#This Row],[Sep-26]]</f>
        <v>-5000</v>
      </c>
      <c r="O18" s="49">
        <f>Actual[[#This Row],[Oct-26]]-Budget[[#This Row],[Oct-26]]</f>
        <v>-5000</v>
      </c>
      <c r="P18" s="49">
        <f>Actual[[#This Row],[Nov-26]]-Budget[[#This Row],[Nov-26]]</f>
        <v>-5000</v>
      </c>
      <c r="Q18" s="49">
        <f>Actual[[#This Row],[Dec-26]]-Budget[[#This Row],[Dec-26]]</f>
        <v>-5000</v>
      </c>
    </row>
    <row r="19" spans="1:17" x14ac:dyDescent="0.3">
      <c r="B19" s="27" t="s">
        <v>40</v>
      </c>
      <c r="C19" s="49">
        <f>Actual[[#This Row],[Oct-25]]-Budget[[#This Row],[Oct-25]]</f>
        <v>0</v>
      </c>
      <c r="D19" s="49">
        <f>Actual[[#This Row],[Nov-25]]-Budget[[#This Row],[Nov-25]]</f>
        <v>0</v>
      </c>
      <c r="E19" s="49">
        <f>Actual[[#This Row],[Dec-25]]-Budget[[#This Row],[Dec-25]]</f>
        <v>0</v>
      </c>
      <c r="F19" s="49">
        <f>Actual[[#This Row],[Jan-26]]-Budget[[#This Row],[Jan-26]]</f>
        <v>0</v>
      </c>
      <c r="G19" s="49">
        <f>Actual[[#This Row],[Feb-26]]-Budget[[#This Row],[Feb-26]]</f>
        <v>0</v>
      </c>
      <c r="H19" s="49">
        <f>Actual[[#This Row],[Mar-26]]-Budget[[#This Row],[Mar-26]]</f>
        <v>0</v>
      </c>
      <c r="I19" s="49">
        <f>Actual[[#This Row],[Apr-26]]-Budget[[#This Row],[Apr-26]]</f>
        <v>-35000</v>
      </c>
      <c r="J19" s="49">
        <f>Actual[[#This Row],[May-26]]-Budget[[#This Row],[May-26]]</f>
        <v>-35000</v>
      </c>
      <c r="K19" s="49">
        <f>Actual[[#This Row],[Jun-26]]-Budget[[#This Row],[Jun-26]]</f>
        <v>-35000</v>
      </c>
      <c r="L19" s="49">
        <f>Actual[[#This Row],[Jul-26]]-Budget[[#This Row],[Jul-26]]</f>
        <v>-35000</v>
      </c>
      <c r="M19" s="49">
        <f>Actual[[#This Row],[Aug-26]]-Budget[[#This Row],[Aug-26]]</f>
        <v>-35000</v>
      </c>
      <c r="N19" s="49">
        <f>Actual[[#This Row],[Sep-26]]-Budget[[#This Row],[Sep-26]]</f>
        <v>-35000</v>
      </c>
      <c r="O19" s="49">
        <f>Actual[[#This Row],[Oct-26]]-Budget[[#This Row],[Oct-26]]</f>
        <v>-35000</v>
      </c>
      <c r="P19" s="49">
        <f>Actual[[#This Row],[Nov-26]]-Budget[[#This Row],[Nov-26]]</f>
        <v>-35000</v>
      </c>
      <c r="Q19" s="49">
        <f>Actual[[#This Row],[Dec-26]]-Budget[[#This Row],[Dec-26]]</f>
        <v>-35000</v>
      </c>
    </row>
    <row r="20" spans="1:17" x14ac:dyDescent="0.3">
      <c r="B20" s="27" t="s">
        <v>46</v>
      </c>
      <c r="C20" s="49">
        <f>Actual[[#This Row],[Oct-25]]-Budget[[#This Row],[Oct-25]]</f>
        <v>0</v>
      </c>
      <c r="D20" s="49">
        <f>Actual[[#This Row],[Nov-25]]-Budget[[#This Row],[Nov-25]]</f>
        <v>0</v>
      </c>
      <c r="E20" s="49">
        <f>Actual[[#This Row],[Dec-25]]-Budget[[#This Row],[Dec-25]]</f>
        <v>0</v>
      </c>
      <c r="F20" s="49">
        <f>Actual[[#This Row],[Jan-26]]-Budget[[#This Row],[Jan-26]]</f>
        <v>0</v>
      </c>
      <c r="G20" s="49">
        <f>Actual[[#This Row],[Feb-26]]-Budget[[#This Row],[Feb-26]]</f>
        <v>0</v>
      </c>
      <c r="H20" s="49">
        <f>Actual[[#This Row],[Mar-26]]-Budget[[#This Row],[Mar-26]]</f>
        <v>0</v>
      </c>
      <c r="I20" s="49">
        <f>Actual[[#This Row],[Apr-26]]-Budget[[#This Row],[Apr-26]]</f>
        <v>-2800</v>
      </c>
      <c r="J20" s="49">
        <f>Actual[[#This Row],[May-26]]-Budget[[#This Row],[May-26]]</f>
        <v>-2800</v>
      </c>
      <c r="K20" s="49">
        <f>Actual[[#This Row],[Jun-26]]-Budget[[#This Row],[Jun-26]]</f>
        <v>-2800</v>
      </c>
      <c r="L20" s="49">
        <f>Actual[[#This Row],[Jul-26]]-Budget[[#This Row],[Jul-26]]</f>
        <v>-2800</v>
      </c>
      <c r="M20" s="49">
        <f>Actual[[#This Row],[Aug-26]]-Budget[[#This Row],[Aug-26]]</f>
        <v>-2800</v>
      </c>
      <c r="N20" s="49">
        <f>Actual[[#This Row],[Sep-26]]-Budget[[#This Row],[Sep-26]]</f>
        <v>-2800</v>
      </c>
      <c r="O20" s="49">
        <f>Actual[[#This Row],[Oct-26]]-Budget[[#This Row],[Oct-26]]</f>
        <v>-2800</v>
      </c>
      <c r="P20" s="49">
        <f>Actual[[#This Row],[Nov-26]]-Budget[[#This Row],[Nov-26]]</f>
        <v>-2800</v>
      </c>
      <c r="Q20" s="49">
        <f>Actual[[#This Row],[Dec-26]]-Budget[[#This Row],[Dec-26]]</f>
        <v>-2800</v>
      </c>
    </row>
    <row r="21" spans="1:17" x14ac:dyDescent="0.3">
      <c r="B21" s="27" t="s">
        <v>50</v>
      </c>
      <c r="C21" s="49">
        <f ca="1">Actual[[#This Row],[Oct-25]]-Budget[[#This Row],[Oct-25]]</f>
        <v>730</v>
      </c>
      <c r="D21" s="49">
        <f ca="1">Actual[[#This Row],[Nov-25]]-Budget[[#This Row],[Nov-25]]</f>
        <v>854</v>
      </c>
      <c r="E21" s="49">
        <f ca="1">Actual[[#This Row],[Dec-25]]-Budget[[#This Row],[Dec-25]]</f>
        <v>714</v>
      </c>
      <c r="F21" s="49">
        <f ca="1">Actual[[#This Row],[Jan-26]]-Budget[[#This Row],[Jan-26]]</f>
        <v>-57</v>
      </c>
      <c r="G21" s="49">
        <f ca="1">Actual[[#This Row],[Feb-26]]-Budget[[#This Row],[Feb-26]]</f>
        <v>-50</v>
      </c>
      <c r="H21" s="49">
        <f ca="1">Actual[[#This Row],[Mar-26]]-Budget[[#This Row],[Mar-26]]</f>
        <v>451</v>
      </c>
      <c r="I21" s="49">
        <f ca="1">Actual[[#This Row],[Apr-26]]-Budget[[#This Row],[Apr-26]]</f>
        <v>-1004</v>
      </c>
      <c r="J21" s="49">
        <f ca="1">Actual[[#This Row],[May-26]]-Budget[[#This Row],[May-26]]</f>
        <v>-774</v>
      </c>
      <c r="K21" s="49">
        <f ca="1">Actual[[#This Row],[Jun-26]]-Budget[[#This Row],[Jun-26]]</f>
        <v>-855</v>
      </c>
      <c r="L21" s="49">
        <f ca="1">Actual[[#This Row],[Jul-26]]-Budget[[#This Row],[Jul-26]]</f>
        <v>-1404</v>
      </c>
      <c r="M21" s="49">
        <f ca="1">Actual[[#This Row],[Aug-26]]-Budget[[#This Row],[Aug-26]]</f>
        <v>-987</v>
      </c>
      <c r="N21" s="49">
        <f ca="1">Actual[[#This Row],[Sep-26]]-Budget[[#This Row],[Sep-26]]</f>
        <v>-583</v>
      </c>
      <c r="O21" s="49">
        <f ca="1">Actual[[#This Row],[Oct-26]]-Budget[[#This Row],[Oct-26]]</f>
        <v>-733</v>
      </c>
      <c r="P21" s="49">
        <f ca="1">Actual[[#This Row],[Nov-26]]-Budget[[#This Row],[Nov-26]]</f>
        <v>-832</v>
      </c>
      <c r="Q21" s="49">
        <f ca="1">Actual[[#This Row],[Dec-26]]-Budget[[#This Row],[Dec-26]]</f>
        <v>-1104</v>
      </c>
    </row>
    <row r="22" spans="1:17" x14ac:dyDescent="0.3">
      <c r="B22" s="27" t="s">
        <v>53</v>
      </c>
      <c r="C22" s="49">
        <f>Actual[[#This Row],[Oct-25]]-Budget[[#This Row],[Oct-25]]</f>
        <v>0</v>
      </c>
      <c r="D22" s="49">
        <f>Actual[[#This Row],[Nov-25]]-Budget[[#This Row],[Nov-25]]</f>
        <v>0</v>
      </c>
      <c r="E22" s="49">
        <f>Actual[[#This Row],[Dec-25]]-Budget[[#This Row],[Dec-25]]</f>
        <v>0</v>
      </c>
      <c r="F22" s="49">
        <f>Actual[[#This Row],[Jan-26]]-Budget[[#This Row],[Jan-26]]</f>
        <v>0</v>
      </c>
      <c r="G22" s="49">
        <f>Actual[[#This Row],[Feb-26]]-Budget[[#This Row],[Feb-26]]</f>
        <v>0</v>
      </c>
      <c r="H22" s="49">
        <f>Actual[[#This Row],[Mar-26]]-Budget[[#This Row],[Mar-26]]</f>
        <v>0</v>
      </c>
      <c r="I22" s="49">
        <f>Actual[[#This Row],[Apr-26]]-Budget[[#This Row],[Apr-26]]</f>
        <v>-5000</v>
      </c>
      <c r="J22" s="49">
        <f>Actual[[#This Row],[May-26]]-Budget[[#This Row],[May-26]]</f>
        <v>-5000</v>
      </c>
      <c r="K22" s="49">
        <f>Actual[[#This Row],[Jun-26]]-Budget[[#This Row],[Jun-26]]</f>
        <v>-5000</v>
      </c>
      <c r="L22" s="49">
        <f>Actual[[#This Row],[Jul-26]]-Budget[[#This Row],[Jul-26]]</f>
        <v>-5000</v>
      </c>
      <c r="M22" s="49">
        <f>Actual[[#This Row],[Aug-26]]-Budget[[#This Row],[Aug-26]]</f>
        <v>-5000</v>
      </c>
      <c r="N22" s="49">
        <f>Actual[[#This Row],[Sep-26]]-Budget[[#This Row],[Sep-26]]</f>
        <v>-5000</v>
      </c>
      <c r="O22" s="49">
        <f>Actual[[#This Row],[Oct-26]]-Budget[[#This Row],[Oct-26]]</f>
        <v>-5000</v>
      </c>
      <c r="P22" s="49">
        <f>Actual[[#This Row],[Nov-26]]-Budget[[#This Row],[Nov-26]]</f>
        <v>-5000</v>
      </c>
      <c r="Q22" s="49">
        <f>Actual[[#This Row],[Dec-26]]-Budget[[#This Row],[Dec-26]]</f>
        <v>-5000</v>
      </c>
    </row>
    <row r="23" spans="1:17" ht="4.2" customHeight="1" x14ac:dyDescent="0.3">
      <c r="B23" s="10"/>
      <c r="C23" s="68"/>
      <c r="D23" s="68"/>
      <c r="E23" s="68"/>
      <c r="F23" s="60"/>
      <c r="G23" s="60"/>
      <c r="H23" s="60"/>
      <c r="I23" s="60"/>
      <c r="J23" s="60"/>
      <c r="K23" s="60"/>
      <c r="L23" s="60"/>
      <c r="M23" s="60"/>
      <c r="N23" s="60"/>
      <c r="O23" s="60"/>
      <c r="P23" s="60"/>
      <c r="Q23" s="60"/>
    </row>
    <row r="24" spans="1:17" x14ac:dyDescent="0.3">
      <c r="A24" s="11" t="s">
        <v>135</v>
      </c>
      <c r="B24" s="17" t="s">
        <v>127</v>
      </c>
      <c r="C24" s="51">
        <f ca="1">Actual[[#This Row],[Oct-25]]-Budget[[#This Row],[Oct-25]]</f>
        <v>360</v>
      </c>
      <c r="D24" s="51">
        <f ca="1">Actual[[#This Row],[Nov-25]]-Budget[[#This Row],[Nov-25]]</f>
        <v>705</v>
      </c>
      <c r="E24" s="51">
        <f ca="1">Actual[[#This Row],[Dec-25]]-Budget[[#This Row],[Dec-25]]</f>
        <v>-237</v>
      </c>
      <c r="F24" s="51">
        <f ca="1">Actual[[#This Row],[Jan-26]]-Budget[[#This Row],[Jan-26]]</f>
        <v>-648</v>
      </c>
      <c r="G24" s="51">
        <f ca="1">Actual[[#This Row],[Feb-26]]-Budget[[#This Row],[Feb-26]]</f>
        <v>-484</v>
      </c>
      <c r="H24" s="51">
        <f ca="1">Actual[[#This Row],[Mar-26]]-Budget[[#This Row],[Mar-26]]</f>
        <v>6888</v>
      </c>
      <c r="I24" s="51">
        <f ca="1">Actual[[#This Row],[Apr-26]]-Budget[[#This Row],[Apr-26]]</f>
        <v>-91510</v>
      </c>
      <c r="J24" s="51">
        <f ca="1">Actual[[#This Row],[May-26]]-Budget[[#This Row],[May-26]]</f>
        <v>-90869</v>
      </c>
      <c r="K24" s="51">
        <f ca="1">Actual[[#This Row],[Jun-26]]-Budget[[#This Row],[Jun-26]]</f>
        <v>-90679</v>
      </c>
      <c r="L24" s="51">
        <f ca="1">Actual[[#This Row],[Jul-26]]-Budget[[#This Row],[Jul-26]]</f>
        <v>-97485</v>
      </c>
      <c r="M24" s="51">
        <f ca="1">Actual[[#This Row],[Aug-26]]-Budget[[#This Row],[Aug-26]]</f>
        <v>-94063</v>
      </c>
      <c r="N24" s="51">
        <f ca="1">Actual[[#This Row],[Sep-26]]-Budget[[#This Row],[Sep-26]]</f>
        <v>-94840</v>
      </c>
      <c r="O24" s="51">
        <f ca="1">Actual[[#This Row],[Oct-26]]-Budget[[#This Row],[Oct-26]]</f>
        <v>-96248</v>
      </c>
      <c r="P24" s="51">
        <f ca="1">Actual[[#This Row],[Nov-26]]-Budget[[#This Row],[Nov-26]]</f>
        <v>-95674</v>
      </c>
      <c r="Q24" s="51">
        <f ca="1">Actual[[#This Row],[Dec-26]]-Budget[[#This Row],[Dec-26]]</f>
        <v>-94617</v>
      </c>
    </row>
    <row r="25" spans="1:17" x14ac:dyDescent="0.3">
      <c r="B25" s="2"/>
      <c r="C25" s="2"/>
      <c r="D25" s="2"/>
      <c r="E25" s="2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</row>
    <row r="26" spans="1:17" x14ac:dyDescent="0.3">
      <c r="B26" s="18" t="s">
        <v>55</v>
      </c>
      <c r="C26" s="18"/>
      <c r="D26" s="18"/>
      <c r="E26" s="18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</row>
    <row r="27" spans="1:17" ht="4.2" customHeight="1" x14ac:dyDescent="0.3">
      <c r="B27" s="20"/>
      <c r="C27" s="20"/>
      <c r="D27" s="20"/>
      <c r="E27" s="20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</row>
    <row r="28" spans="1:17" x14ac:dyDescent="0.3">
      <c r="B28" s="27" t="s">
        <v>56</v>
      </c>
      <c r="C28" s="49">
        <f ca="1">Actual[[#This Row],[Oct-25]]-Budget[[#This Row],[Oct-25]]</f>
        <v>1244</v>
      </c>
      <c r="D28" s="49">
        <f ca="1">Actual[[#This Row],[Nov-25]]-Budget[[#This Row],[Nov-25]]</f>
        <v>711</v>
      </c>
      <c r="E28" s="49">
        <f ca="1">Actual[[#This Row],[Dec-25]]-Budget[[#This Row],[Dec-25]]</f>
        <v>201</v>
      </c>
      <c r="F28" s="49">
        <f ca="1">Actual[[#This Row],[Jan-26]]-Budget[[#This Row],[Jan-26]]</f>
        <v>394</v>
      </c>
      <c r="G28" s="49">
        <f ca="1">Actual[[#This Row],[Feb-26]]-Budget[[#This Row],[Feb-26]]</f>
        <v>1247</v>
      </c>
      <c r="H28" s="49">
        <f ca="1">Actual[[#This Row],[Mar-26]]-Budget[[#This Row],[Mar-26]]</f>
        <v>492</v>
      </c>
      <c r="I28" s="49">
        <f ca="1">Actual[[#This Row],[Apr-26]]-Budget[[#This Row],[Apr-26]]</f>
        <v>-5796</v>
      </c>
      <c r="J28" s="49">
        <f ca="1">Actual[[#This Row],[May-26]]-Budget[[#This Row],[May-26]]</f>
        <v>-5432</v>
      </c>
      <c r="K28" s="49">
        <f ca="1">Actual[[#This Row],[Jun-26]]-Budget[[#This Row],[Jun-26]]</f>
        <v>-4560</v>
      </c>
      <c r="L28" s="49">
        <f ca="1">Actual[[#This Row],[Jul-26]]-Budget[[#This Row],[Jul-26]]</f>
        <v>-4684</v>
      </c>
      <c r="M28" s="49">
        <f ca="1">Actual[[#This Row],[Aug-26]]-Budget[[#This Row],[Aug-26]]</f>
        <v>-4058</v>
      </c>
      <c r="N28" s="49">
        <f ca="1">Actual[[#This Row],[Sep-26]]-Budget[[#This Row],[Sep-26]]</f>
        <v>-5012</v>
      </c>
      <c r="O28" s="49">
        <f ca="1">Actual[[#This Row],[Oct-26]]-Budget[[#This Row],[Oct-26]]</f>
        <v>-5423</v>
      </c>
      <c r="P28" s="49">
        <f ca="1">Actual[[#This Row],[Nov-26]]-Budget[[#This Row],[Nov-26]]</f>
        <v>-4808</v>
      </c>
      <c r="Q28" s="49">
        <f ca="1">Actual[[#This Row],[Dec-26]]-Budget[[#This Row],[Dec-26]]</f>
        <v>-4060</v>
      </c>
    </row>
    <row r="29" spans="1:17" x14ac:dyDescent="0.3">
      <c r="B29" s="27" t="s">
        <v>128</v>
      </c>
      <c r="C29" s="49">
        <f ca="1">Actual[[#This Row],[Oct-25]]-Budget[[#This Row],[Oct-25]]</f>
        <v>-197</v>
      </c>
      <c r="D29" s="49">
        <f ca="1">Actual[[#This Row],[Nov-25]]-Budget[[#This Row],[Nov-25]]</f>
        <v>586</v>
      </c>
      <c r="E29" s="49">
        <f ca="1">Actual[[#This Row],[Dec-25]]-Budget[[#This Row],[Dec-25]]</f>
        <v>1265</v>
      </c>
      <c r="F29" s="49">
        <f ca="1">Actual[[#This Row],[Jan-26]]-Budget[[#This Row],[Jan-26]]</f>
        <v>1592</v>
      </c>
      <c r="G29" s="49">
        <f ca="1">Actual[[#This Row],[Feb-26]]-Budget[[#This Row],[Feb-26]]</f>
        <v>744</v>
      </c>
      <c r="H29" s="49">
        <f ca="1">Actual[[#This Row],[Mar-26]]-Budget[[#This Row],[Mar-26]]</f>
        <v>1344</v>
      </c>
      <c r="I29" s="49">
        <f ca="1">Actual[[#This Row],[Apr-26]]-Budget[[#This Row],[Apr-26]]</f>
        <v>-3844</v>
      </c>
      <c r="J29" s="49">
        <f ca="1">Actual[[#This Row],[May-26]]-Budget[[#This Row],[May-26]]</f>
        <v>-5738</v>
      </c>
      <c r="K29" s="49">
        <f ca="1">Actual[[#This Row],[Jun-26]]-Budget[[#This Row],[Jun-26]]</f>
        <v>-4950</v>
      </c>
      <c r="L29" s="49">
        <f ca="1">Actual[[#This Row],[Jul-26]]-Budget[[#This Row],[Jul-26]]</f>
        <v>-4771</v>
      </c>
      <c r="M29" s="49">
        <f ca="1">Actual[[#This Row],[Aug-26]]-Budget[[#This Row],[Aug-26]]</f>
        <v>-4901</v>
      </c>
      <c r="N29" s="49">
        <f ca="1">Actual[[#This Row],[Sep-26]]-Budget[[#This Row],[Sep-26]]</f>
        <v>-4921</v>
      </c>
      <c r="O29" s="49">
        <f ca="1">Actual[[#This Row],[Oct-26]]-Budget[[#This Row],[Oct-26]]</f>
        <v>-5521</v>
      </c>
      <c r="P29" s="49">
        <f ca="1">Actual[[#This Row],[Nov-26]]-Budget[[#This Row],[Nov-26]]</f>
        <v>-3423</v>
      </c>
      <c r="Q29" s="49">
        <f ca="1">Actual[[#This Row],[Dec-26]]-Budget[[#This Row],[Dec-26]]</f>
        <v>-5520</v>
      </c>
    </row>
    <row r="30" spans="1:17" x14ac:dyDescent="0.3">
      <c r="B30" s="27" t="s">
        <v>129</v>
      </c>
      <c r="C30" s="49">
        <f ca="1">Actual[[#This Row],[Oct-25]]-Budget[[#This Row],[Oct-25]]</f>
        <v>238</v>
      </c>
      <c r="D30" s="49">
        <f ca="1">Actual[[#This Row],[Nov-25]]-Budget[[#This Row],[Nov-25]]</f>
        <v>-232</v>
      </c>
      <c r="E30" s="49">
        <f ca="1">Actual[[#This Row],[Dec-25]]-Budget[[#This Row],[Dec-25]]</f>
        <v>-379</v>
      </c>
      <c r="F30" s="49">
        <f ca="1">Actual[[#This Row],[Jan-26]]-Budget[[#This Row],[Jan-26]]</f>
        <v>-301</v>
      </c>
      <c r="G30" s="49">
        <f ca="1">Actual[[#This Row],[Feb-26]]-Budget[[#This Row],[Feb-26]]</f>
        <v>530</v>
      </c>
      <c r="H30" s="49">
        <f ca="1">Actual[[#This Row],[Mar-26]]-Budget[[#This Row],[Mar-26]]</f>
        <v>-249</v>
      </c>
      <c r="I30" s="49">
        <f ca="1">Actual[[#This Row],[Apr-26]]-Budget[[#This Row],[Apr-26]]</f>
        <v>-1599</v>
      </c>
      <c r="J30" s="49">
        <f ca="1">Actual[[#This Row],[May-26]]-Budget[[#This Row],[May-26]]</f>
        <v>-2411</v>
      </c>
      <c r="K30" s="49">
        <f ca="1">Actual[[#This Row],[Jun-26]]-Budget[[#This Row],[Jun-26]]</f>
        <v>-2367</v>
      </c>
      <c r="L30" s="49">
        <f ca="1">Actual[[#This Row],[Jul-26]]-Budget[[#This Row],[Jul-26]]</f>
        <v>-2197</v>
      </c>
      <c r="M30" s="49">
        <f ca="1">Actual[[#This Row],[Aug-26]]-Budget[[#This Row],[Aug-26]]</f>
        <v>-1841</v>
      </c>
      <c r="N30" s="49">
        <f ca="1">Actual[[#This Row],[Sep-26]]-Budget[[#This Row],[Sep-26]]</f>
        <v>-1977</v>
      </c>
      <c r="O30" s="49">
        <f ca="1">Actual[[#This Row],[Oct-26]]-Budget[[#This Row],[Oct-26]]</f>
        <v>-1862</v>
      </c>
      <c r="P30" s="49">
        <f ca="1">Actual[[#This Row],[Nov-26]]-Budget[[#This Row],[Nov-26]]</f>
        <v>-2462</v>
      </c>
      <c r="Q30" s="49">
        <f ca="1">Actual[[#This Row],[Dec-26]]-Budget[[#This Row],[Dec-26]]</f>
        <v>-2272</v>
      </c>
    </row>
    <row r="31" spans="1:17" x14ac:dyDescent="0.3">
      <c r="B31" s="27" t="s">
        <v>130</v>
      </c>
      <c r="C31" s="49">
        <f ca="1">Actual[[#This Row],[Oct-25]]-Budget[[#This Row],[Oct-25]]</f>
        <v>943</v>
      </c>
      <c r="D31" s="49">
        <f ca="1">Actual[[#This Row],[Nov-25]]-Budget[[#This Row],[Nov-25]]</f>
        <v>-693</v>
      </c>
      <c r="E31" s="49">
        <f ca="1">Actual[[#This Row],[Dec-25]]-Budget[[#This Row],[Dec-25]]</f>
        <v>445</v>
      </c>
      <c r="F31" s="49">
        <f ca="1">Actual[[#This Row],[Jan-26]]-Budget[[#This Row],[Jan-26]]</f>
        <v>-208</v>
      </c>
      <c r="G31" s="49">
        <f ca="1">Actual[[#This Row],[Feb-26]]-Budget[[#This Row],[Feb-26]]</f>
        <v>-358</v>
      </c>
      <c r="H31" s="49">
        <f ca="1">Actual[[#This Row],[Mar-26]]-Budget[[#This Row],[Mar-26]]</f>
        <v>30</v>
      </c>
      <c r="I31" s="49">
        <f ca="1">Actual[[#This Row],[Apr-26]]-Budget[[#This Row],[Apr-26]]</f>
        <v>-2254</v>
      </c>
      <c r="J31" s="49">
        <f ca="1">Actual[[#This Row],[May-26]]-Budget[[#This Row],[May-26]]</f>
        <v>-2243</v>
      </c>
      <c r="K31" s="49">
        <f ca="1">Actual[[#This Row],[Jun-26]]-Budget[[#This Row],[Jun-26]]</f>
        <v>-2103</v>
      </c>
      <c r="L31" s="49">
        <f ca="1">Actual[[#This Row],[Jul-26]]-Budget[[#This Row],[Jul-26]]</f>
        <v>-2392</v>
      </c>
      <c r="M31" s="49">
        <f ca="1">Actual[[#This Row],[Aug-26]]-Budget[[#This Row],[Aug-26]]</f>
        <v>-994</v>
      </c>
      <c r="N31" s="49">
        <f ca="1">Actual[[#This Row],[Sep-26]]-Budget[[#This Row],[Sep-26]]</f>
        <v>-940</v>
      </c>
      <c r="O31" s="49">
        <f ca="1">Actual[[#This Row],[Oct-26]]-Budget[[#This Row],[Oct-26]]</f>
        <v>-1508</v>
      </c>
      <c r="P31" s="49">
        <f ca="1">Actual[[#This Row],[Nov-26]]-Budget[[#This Row],[Nov-26]]</f>
        <v>-1408</v>
      </c>
      <c r="Q31" s="49">
        <f ca="1">Actual[[#This Row],[Dec-26]]-Budget[[#This Row],[Dec-26]]</f>
        <v>-1996</v>
      </c>
    </row>
    <row r="32" spans="1:17" x14ac:dyDescent="0.3">
      <c r="B32" s="27" t="s">
        <v>131</v>
      </c>
      <c r="C32" s="49">
        <f ca="1">Actual[[#This Row],[Oct-25]]-Budget[[#This Row],[Oct-25]]</f>
        <v>136</v>
      </c>
      <c r="D32" s="49">
        <f ca="1">Actual[[#This Row],[Nov-25]]-Budget[[#This Row],[Nov-25]]</f>
        <v>61</v>
      </c>
      <c r="E32" s="49">
        <f ca="1">Actual[[#This Row],[Dec-25]]-Budget[[#This Row],[Dec-25]]</f>
        <v>295</v>
      </c>
      <c r="F32" s="49">
        <f ca="1">Actual[[#This Row],[Jan-26]]-Budget[[#This Row],[Jan-26]]</f>
        <v>348</v>
      </c>
      <c r="G32" s="49">
        <f ca="1">Actual[[#This Row],[Feb-26]]-Budget[[#This Row],[Feb-26]]</f>
        <v>-68</v>
      </c>
      <c r="H32" s="49">
        <f ca="1">Actual[[#This Row],[Mar-26]]-Budget[[#This Row],[Mar-26]]</f>
        <v>212</v>
      </c>
      <c r="I32" s="49">
        <f ca="1">Actual[[#This Row],[Apr-26]]-Budget[[#This Row],[Apr-26]]</f>
        <v>-1594</v>
      </c>
      <c r="J32" s="49">
        <f ca="1">Actual[[#This Row],[May-26]]-Budget[[#This Row],[May-26]]</f>
        <v>-1630</v>
      </c>
      <c r="K32" s="49">
        <f ca="1">Actual[[#This Row],[Jun-26]]-Budget[[#This Row],[Jun-26]]</f>
        <v>-1784</v>
      </c>
      <c r="L32" s="49">
        <f ca="1">Actual[[#This Row],[Jul-26]]-Budget[[#This Row],[Jul-26]]</f>
        <v>-1531</v>
      </c>
      <c r="M32" s="49">
        <f ca="1">Actual[[#This Row],[Aug-26]]-Budget[[#This Row],[Aug-26]]</f>
        <v>-1609</v>
      </c>
      <c r="N32" s="49">
        <f ca="1">Actual[[#This Row],[Sep-26]]-Budget[[#This Row],[Sep-26]]</f>
        <v>-1869</v>
      </c>
      <c r="O32" s="49">
        <f ca="1">Actual[[#This Row],[Oct-26]]-Budget[[#This Row],[Oct-26]]</f>
        <v>-1603</v>
      </c>
      <c r="P32" s="49">
        <f ca="1">Actual[[#This Row],[Nov-26]]-Budget[[#This Row],[Nov-26]]</f>
        <v>-1785</v>
      </c>
      <c r="Q32" s="49">
        <f ca="1">Actual[[#This Row],[Dec-26]]-Budget[[#This Row],[Dec-26]]</f>
        <v>-1919</v>
      </c>
    </row>
    <row r="33" spans="1:17" ht="4.2" customHeight="1" x14ac:dyDescent="0.3">
      <c r="B33" s="10"/>
      <c r="C33" s="68"/>
      <c r="D33" s="68"/>
      <c r="E33" s="68"/>
      <c r="F33" s="60"/>
      <c r="G33" s="60"/>
      <c r="H33" s="60"/>
      <c r="I33" s="60"/>
      <c r="J33" s="60"/>
      <c r="K33" s="60"/>
      <c r="L33" s="60"/>
      <c r="M33" s="60"/>
      <c r="N33" s="60"/>
      <c r="O33" s="60"/>
      <c r="P33" s="60"/>
      <c r="Q33" s="60"/>
    </row>
    <row r="34" spans="1:17" x14ac:dyDescent="0.3">
      <c r="A34" s="11" t="s">
        <v>136</v>
      </c>
      <c r="B34" s="17" t="s">
        <v>132</v>
      </c>
      <c r="C34" s="51">
        <f ca="1">Actual[[#This Row],[Oct-25]]-Budget[[#This Row],[Oct-25]]</f>
        <v>2364</v>
      </c>
      <c r="D34" s="51">
        <f ca="1">Actual[[#This Row],[Nov-25]]-Budget[[#This Row],[Nov-25]]</f>
        <v>433</v>
      </c>
      <c r="E34" s="51">
        <f ca="1">Actual[[#This Row],[Dec-25]]-Budget[[#This Row],[Dec-25]]</f>
        <v>1827</v>
      </c>
      <c r="F34" s="51">
        <f ca="1">Actual[[#This Row],[Jan-26]]-Budget[[#This Row],[Jan-26]]</f>
        <v>1825</v>
      </c>
      <c r="G34" s="51">
        <f ca="1">Actual[[#This Row],[Feb-26]]-Budget[[#This Row],[Feb-26]]</f>
        <v>2095</v>
      </c>
      <c r="H34" s="51">
        <f ca="1">Actual[[#This Row],[Mar-26]]-Budget[[#This Row],[Mar-26]]</f>
        <v>1829</v>
      </c>
      <c r="I34" s="51">
        <f ca="1">Actual[[#This Row],[Apr-26]]-Budget[[#This Row],[Apr-26]]</f>
        <v>-15087</v>
      </c>
      <c r="J34" s="51">
        <f ca="1">Actual[[#This Row],[May-26]]-Budget[[#This Row],[May-26]]</f>
        <v>-17454</v>
      </c>
      <c r="K34" s="51">
        <f ca="1">Actual[[#This Row],[Jun-26]]-Budget[[#This Row],[Jun-26]]</f>
        <v>-15764</v>
      </c>
      <c r="L34" s="51">
        <f ca="1">Actual[[#This Row],[Jul-26]]-Budget[[#This Row],[Jul-26]]</f>
        <v>-15575</v>
      </c>
      <c r="M34" s="51">
        <f ca="1">Actual[[#This Row],[Aug-26]]-Budget[[#This Row],[Aug-26]]</f>
        <v>-13403</v>
      </c>
      <c r="N34" s="51">
        <f ca="1">Actual[[#This Row],[Sep-26]]-Budget[[#This Row],[Sep-26]]</f>
        <v>-14719</v>
      </c>
      <c r="O34" s="51">
        <f ca="1">Actual[[#This Row],[Oct-26]]-Budget[[#This Row],[Oct-26]]</f>
        <v>-15917</v>
      </c>
      <c r="P34" s="51">
        <f ca="1">Actual[[#This Row],[Nov-26]]-Budget[[#This Row],[Nov-26]]</f>
        <v>-13886</v>
      </c>
      <c r="Q34" s="51">
        <f ca="1">Actual[[#This Row],[Dec-26]]-Budget[[#This Row],[Dec-26]]</f>
        <v>-15767</v>
      </c>
    </row>
    <row r="35" spans="1:17" ht="9" customHeight="1" thickBot="1" x14ac:dyDescent="0.35">
      <c r="B35" s="1"/>
      <c r="C35" s="69"/>
      <c r="D35" s="69"/>
      <c r="E35" s="69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</row>
    <row r="36" spans="1:17" ht="16.2" thickBot="1" x14ac:dyDescent="0.35">
      <c r="A36" s="11" t="s">
        <v>137</v>
      </c>
      <c r="B36" s="16" t="s">
        <v>142</v>
      </c>
      <c r="C36" s="52">
        <f ca="1">Actual[[#This Row],[Oct-25]]-Budget[[#This Row],[Oct-25]]</f>
        <v>2724</v>
      </c>
      <c r="D36" s="52">
        <f ca="1">Actual[[#This Row],[Nov-25]]-Budget[[#This Row],[Nov-25]]</f>
        <v>1138</v>
      </c>
      <c r="E36" s="52">
        <f ca="1">Actual[[#This Row],[Dec-25]]-Budget[[#This Row],[Dec-25]]</f>
        <v>1590</v>
      </c>
      <c r="F36" s="52">
        <f ca="1">Actual[[#This Row],[Jan-26]]-Budget[[#This Row],[Jan-26]]</f>
        <v>1177</v>
      </c>
      <c r="G36" s="52">
        <f ca="1">Actual[[#This Row],[Feb-26]]-Budget[[#This Row],[Feb-26]]</f>
        <v>1611</v>
      </c>
      <c r="H36" s="52">
        <f ca="1">Actual[[#This Row],[Mar-26]]-Budget[[#This Row],[Mar-26]]</f>
        <v>8717</v>
      </c>
      <c r="I36" s="52">
        <f ca="1">Actual[[#This Row],[Apr-26]]-Budget[[#This Row],[Apr-26]]</f>
        <v>-106597</v>
      </c>
      <c r="J36" s="52">
        <f ca="1">Actual[[#This Row],[May-26]]-Budget[[#This Row],[May-26]]</f>
        <v>-108323</v>
      </c>
      <c r="K36" s="52">
        <f ca="1">Actual[[#This Row],[Jun-26]]-Budget[[#This Row],[Jun-26]]</f>
        <v>-106443</v>
      </c>
      <c r="L36" s="52">
        <f ca="1">Actual[[#This Row],[Jul-26]]-Budget[[#This Row],[Jul-26]]</f>
        <v>-113060</v>
      </c>
      <c r="M36" s="52">
        <f ca="1">Actual[[#This Row],[Aug-26]]-Budget[[#This Row],[Aug-26]]</f>
        <v>-107466</v>
      </c>
      <c r="N36" s="52">
        <f ca="1">Actual[[#This Row],[Sep-26]]-Budget[[#This Row],[Sep-26]]</f>
        <v>-109559</v>
      </c>
      <c r="O36" s="52">
        <f ca="1">Actual[[#This Row],[Oct-26]]-Budget[[#This Row],[Oct-26]]</f>
        <v>-112165</v>
      </c>
      <c r="P36" s="52">
        <f ca="1">Actual[[#This Row],[Nov-26]]-Budget[[#This Row],[Nov-26]]</f>
        <v>-109560</v>
      </c>
      <c r="Q36" s="52">
        <f ca="1">Actual[[#This Row],[Dec-26]]-Budget[[#This Row],[Dec-26]]</f>
        <v>-110384</v>
      </c>
    </row>
    <row r="37" spans="1:17" ht="9" customHeight="1" thickBot="1" x14ac:dyDescent="0.35">
      <c r="B37" s="1"/>
      <c r="C37" s="69"/>
      <c r="D37" s="69"/>
      <c r="E37" s="69"/>
      <c r="F37" s="60"/>
      <c r="G37" s="60"/>
      <c r="H37" s="60"/>
      <c r="I37" s="60"/>
      <c r="J37" s="60"/>
      <c r="K37" s="60"/>
      <c r="L37" s="60"/>
      <c r="M37" s="60"/>
      <c r="N37" s="60"/>
      <c r="O37" s="60"/>
      <c r="P37" s="60"/>
      <c r="Q37" s="60"/>
    </row>
    <row r="38" spans="1:17" ht="16.2" thickBot="1" x14ac:dyDescent="0.35">
      <c r="A38" s="11" t="s">
        <v>138</v>
      </c>
      <c r="B38" s="16" t="s">
        <v>141</v>
      </c>
      <c r="C38" s="52">
        <f ca="1">Actual[[#This Row],[Oct-25]]-Budget[[#This Row],[Oct-25]]</f>
        <v>16254</v>
      </c>
      <c r="D38" s="52">
        <f ca="1">Actual[[#This Row],[Nov-25]]-Budget[[#This Row],[Nov-25]]</f>
        <v>-1762</v>
      </c>
      <c r="E38" s="52">
        <f ca="1">Actual[[#This Row],[Dec-25]]-Budget[[#This Row],[Dec-25]]</f>
        <v>732</v>
      </c>
      <c r="F38" s="52">
        <f ca="1">Actual[[#This Row],[Jan-26]]-Budget[[#This Row],[Jan-26]]</f>
        <v>3729</v>
      </c>
      <c r="G38" s="52">
        <f ca="1">Actual[[#This Row],[Feb-26]]-Budget[[#This Row],[Feb-26]]</f>
        <v>-1145</v>
      </c>
      <c r="H38" s="52">
        <f ca="1">Actual[[#This Row],[Mar-26]]-Budget[[#This Row],[Mar-26]]</f>
        <v>-2526</v>
      </c>
      <c r="I38" s="52">
        <f ca="1">Actual[[#This Row],[Apr-26]]-Budget[[#This Row],[Apr-26]]</f>
        <v>-58071</v>
      </c>
      <c r="J38" s="52">
        <f ca="1">Actual[[#This Row],[May-26]]-Budget[[#This Row],[May-26]]</f>
        <v>-55456</v>
      </c>
      <c r="K38" s="52">
        <f ca="1">Actual[[#This Row],[Jun-26]]-Budget[[#This Row],[Jun-26]]</f>
        <v>-57011</v>
      </c>
      <c r="L38" s="52">
        <f ca="1">Actual[[#This Row],[Jul-26]]-Budget[[#This Row],[Jul-26]]</f>
        <v>-57132</v>
      </c>
      <c r="M38" s="52">
        <f ca="1">Actual[[#This Row],[Aug-26]]-Budget[[#This Row],[Aug-26]]</f>
        <v>-64163</v>
      </c>
      <c r="N38" s="52">
        <f ca="1">Actual[[#This Row],[Sep-26]]-Budget[[#This Row],[Sep-26]]</f>
        <v>-61531</v>
      </c>
      <c r="O38" s="52">
        <f ca="1">Actual[[#This Row],[Oct-26]]-Budget[[#This Row],[Oct-26]]</f>
        <v>-62260</v>
      </c>
      <c r="P38" s="52">
        <f ca="1">Actual[[#This Row],[Nov-26]]-Budget[[#This Row],[Nov-26]]</f>
        <v>-62353</v>
      </c>
      <c r="Q38" s="52">
        <f ca="1">Actual[[#This Row],[Dec-26]]-Budget[[#This Row],[Dec-26]]</f>
        <v>-59725</v>
      </c>
    </row>
    <row r="39" spans="1:17" x14ac:dyDescent="0.3">
      <c r="B39" s="2"/>
      <c r="C39" s="2"/>
      <c r="D39" s="2"/>
      <c r="E39" s="2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</row>
    <row r="40" spans="1:17" x14ac:dyDescent="0.3">
      <c r="B40" s="18" t="s">
        <v>74</v>
      </c>
      <c r="C40" s="18"/>
      <c r="D40" s="18"/>
      <c r="E40" s="18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</row>
    <row r="41" spans="1:17" ht="4.8" customHeight="1" x14ac:dyDescent="0.3">
      <c r="B41" s="20"/>
      <c r="C41" s="20"/>
      <c r="D41" s="20"/>
      <c r="E41" s="20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</row>
    <row r="42" spans="1:17" x14ac:dyDescent="0.3">
      <c r="B42" s="27" t="s">
        <v>75</v>
      </c>
      <c r="C42" s="49">
        <f>Actual[[#This Row],[Oct-25]]-Budget[[#This Row],[Oct-25]]</f>
        <v>0</v>
      </c>
      <c r="D42" s="49">
        <f>Actual[[#This Row],[Nov-25]]-Budget[[#This Row],[Nov-25]]</f>
        <v>-5000</v>
      </c>
      <c r="E42" s="49">
        <f>Actual[[#This Row],[Dec-25]]-Budget[[#This Row],[Dec-25]]</f>
        <v>-2000</v>
      </c>
      <c r="F42" s="49">
        <f>Actual[[#This Row],[Jan-26]]-Budget[[#This Row],[Jan-26]]</f>
        <v>-10000</v>
      </c>
      <c r="G42" s="49">
        <f>Actual[[#This Row],[Feb-26]]-Budget[[#This Row],[Feb-26]]</f>
        <v>-5000</v>
      </c>
      <c r="H42" s="49">
        <f>Actual[[#This Row],[Mar-26]]-Budget[[#This Row],[Mar-26]]</f>
        <v>-5000</v>
      </c>
      <c r="I42" s="49">
        <f>Actual[[#This Row],[Apr-26]]-Budget[[#This Row],[Apr-26]]</f>
        <v>-15000</v>
      </c>
      <c r="J42" s="49">
        <f>Actual[[#This Row],[May-26]]-Budget[[#This Row],[May-26]]</f>
        <v>-15000</v>
      </c>
      <c r="K42" s="49">
        <f>Actual[[#This Row],[Jun-26]]-Budget[[#This Row],[Jun-26]]</f>
        <v>-17000</v>
      </c>
      <c r="L42" s="49">
        <f>Actual[[#This Row],[Jul-26]]-Budget[[#This Row],[Jul-26]]</f>
        <v>-21000</v>
      </c>
      <c r="M42" s="49">
        <f>Actual[[#This Row],[Aug-26]]-Budget[[#This Row],[Aug-26]]</f>
        <v>-18000</v>
      </c>
      <c r="N42" s="49">
        <f>Actual[[#This Row],[Sep-26]]-Budget[[#This Row],[Sep-26]]</f>
        <v>-20000</v>
      </c>
      <c r="O42" s="49">
        <f>Actual[[#This Row],[Oct-26]]-Budget[[#This Row],[Oct-26]]</f>
        <v>-16000</v>
      </c>
      <c r="P42" s="49">
        <f>Actual[[#This Row],[Nov-26]]-Budget[[#This Row],[Nov-26]]</f>
        <v>-18000</v>
      </c>
      <c r="Q42" s="49">
        <f>Actual[[#This Row],[Dec-26]]-Budget[[#This Row],[Dec-26]]</f>
        <v>-22000</v>
      </c>
    </row>
    <row r="43" spans="1:17" x14ac:dyDescent="0.3">
      <c r="B43" s="27" t="s">
        <v>76</v>
      </c>
      <c r="C43" s="49">
        <f>Actual[[#This Row],[Oct-25]]-Budget[[#This Row],[Oct-25]]</f>
        <v>0</v>
      </c>
      <c r="D43" s="49">
        <f>Actual[[#This Row],[Nov-25]]-Budget[[#This Row],[Nov-25]]</f>
        <v>0</v>
      </c>
      <c r="E43" s="49">
        <f>Actual[[#This Row],[Dec-25]]-Budget[[#This Row],[Dec-25]]</f>
        <v>0</v>
      </c>
      <c r="F43" s="49">
        <f>Actual[[#This Row],[Jan-26]]-Budget[[#This Row],[Jan-26]]</f>
        <v>0</v>
      </c>
      <c r="G43" s="49">
        <f>Actual[[#This Row],[Feb-26]]-Budget[[#This Row],[Feb-26]]</f>
        <v>0</v>
      </c>
      <c r="H43" s="49">
        <f>Actual[[#This Row],[Mar-26]]-Budget[[#This Row],[Mar-26]]</f>
        <v>0</v>
      </c>
      <c r="I43" s="49">
        <f>Actual[[#This Row],[Apr-26]]-Budget[[#This Row],[Apr-26]]</f>
        <v>-3000</v>
      </c>
      <c r="J43" s="49">
        <f>Actual[[#This Row],[May-26]]-Budget[[#This Row],[May-26]]</f>
        <v>-3000</v>
      </c>
      <c r="K43" s="49">
        <f>Actual[[#This Row],[Jun-26]]-Budget[[#This Row],[Jun-26]]</f>
        <v>-3000</v>
      </c>
      <c r="L43" s="49">
        <f>Actual[[#This Row],[Jul-26]]-Budget[[#This Row],[Jul-26]]</f>
        <v>-3000</v>
      </c>
      <c r="M43" s="49">
        <f>Actual[[#This Row],[Aug-26]]-Budget[[#This Row],[Aug-26]]</f>
        <v>-3000</v>
      </c>
      <c r="N43" s="49">
        <f>Actual[[#This Row],[Sep-26]]-Budget[[#This Row],[Sep-26]]</f>
        <v>-3000</v>
      </c>
      <c r="O43" s="49">
        <f>Actual[[#This Row],[Oct-26]]-Budget[[#This Row],[Oct-26]]</f>
        <v>-3000</v>
      </c>
      <c r="P43" s="49">
        <f>Actual[[#This Row],[Nov-26]]-Budget[[#This Row],[Nov-26]]</f>
        <v>-3000</v>
      </c>
      <c r="Q43" s="49">
        <f>Actual[[#This Row],[Dec-26]]-Budget[[#This Row],[Dec-26]]</f>
        <v>-3000</v>
      </c>
    </row>
    <row r="44" spans="1:17" x14ac:dyDescent="0.3">
      <c r="B44" s="27" t="s">
        <v>78</v>
      </c>
      <c r="C44" s="49">
        <f>Actual[[#This Row],[Oct-25]]-Budget[[#This Row],[Oct-25]]</f>
        <v>0</v>
      </c>
      <c r="D44" s="49">
        <f>Actual[[#This Row],[Nov-25]]-Budget[[#This Row],[Nov-25]]</f>
        <v>0</v>
      </c>
      <c r="E44" s="49">
        <f>Actual[[#This Row],[Dec-25]]-Budget[[#This Row],[Dec-25]]</f>
        <v>0</v>
      </c>
      <c r="F44" s="49">
        <f>Actual[[#This Row],[Jan-26]]-Budget[[#This Row],[Jan-26]]</f>
        <v>0</v>
      </c>
      <c r="G44" s="49">
        <f>Actual[[#This Row],[Feb-26]]-Budget[[#This Row],[Feb-26]]</f>
        <v>0</v>
      </c>
      <c r="H44" s="49">
        <f>Actual[[#This Row],[Mar-26]]-Budget[[#This Row],[Mar-26]]</f>
        <v>0</v>
      </c>
      <c r="I44" s="49">
        <f>Actual[[#This Row],[Apr-26]]-Budget[[#This Row],[Apr-26]]</f>
        <v>0</v>
      </c>
      <c r="J44" s="49">
        <f>Actual[[#This Row],[May-26]]-Budget[[#This Row],[May-26]]</f>
        <v>0</v>
      </c>
      <c r="K44" s="49">
        <f>Actual[[#This Row],[Jun-26]]-Budget[[#This Row],[Jun-26]]</f>
        <v>0</v>
      </c>
      <c r="L44" s="49">
        <f>Actual[[#This Row],[Jul-26]]-Budget[[#This Row],[Jul-26]]</f>
        <v>0</v>
      </c>
      <c r="M44" s="49">
        <f>Actual[[#This Row],[Aug-26]]-Budget[[#This Row],[Aug-26]]</f>
        <v>0</v>
      </c>
      <c r="N44" s="49">
        <f>Actual[[#This Row],[Sep-26]]-Budget[[#This Row],[Sep-26]]</f>
        <v>0</v>
      </c>
      <c r="O44" s="49">
        <f>Actual[[#This Row],[Oct-26]]-Budget[[#This Row],[Oct-26]]</f>
        <v>0</v>
      </c>
      <c r="P44" s="49">
        <f>Actual[[#This Row],[Nov-26]]-Budget[[#This Row],[Nov-26]]</f>
        <v>0</v>
      </c>
      <c r="Q44" s="49">
        <f>Actual[[#This Row],[Dec-26]]-Budget[[#This Row],[Dec-26]]</f>
        <v>0</v>
      </c>
    </row>
    <row r="45" spans="1:17" x14ac:dyDescent="0.3">
      <c r="B45" s="27" t="s">
        <v>80</v>
      </c>
      <c r="C45" s="49">
        <f>Actual[[#This Row],[Oct-25]]-Budget[[#This Row],[Oct-25]]</f>
        <v>0</v>
      </c>
      <c r="D45" s="49">
        <f>Actual[[#This Row],[Nov-25]]-Budget[[#This Row],[Nov-25]]</f>
        <v>0</v>
      </c>
      <c r="E45" s="49">
        <f>Actual[[#This Row],[Dec-25]]-Budget[[#This Row],[Dec-25]]</f>
        <v>0</v>
      </c>
      <c r="F45" s="49">
        <f>Actual[[#This Row],[Jan-26]]-Budget[[#This Row],[Jan-26]]</f>
        <v>0</v>
      </c>
      <c r="G45" s="49">
        <f>Actual[[#This Row],[Feb-26]]-Budget[[#This Row],[Feb-26]]</f>
        <v>0</v>
      </c>
      <c r="H45" s="49">
        <f>Actual[[#This Row],[Mar-26]]-Budget[[#This Row],[Mar-26]]</f>
        <v>0</v>
      </c>
      <c r="I45" s="49">
        <f>Actual[[#This Row],[Apr-26]]-Budget[[#This Row],[Apr-26]]</f>
        <v>-10000</v>
      </c>
      <c r="J45" s="49">
        <f>Actual[[#This Row],[May-26]]-Budget[[#This Row],[May-26]]</f>
        <v>-10000</v>
      </c>
      <c r="K45" s="49">
        <f>Actual[[#This Row],[Jun-26]]-Budget[[#This Row],[Jun-26]]</f>
        <v>-10000</v>
      </c>
      <c r="L45" s="49">
        <f>Actual[[#This Row],[Jul-26]]-Budget[[#This Row],[Jul-26]]</f>
        <v>-10000</v>
      </c>
      <c r="M45" s="49">
        <f>Actual[[#This Row],[Aug-26]]-Budget[[#This Row],[Aug-26]]</f>
        <v>-10000</v>
      </c>
      <c r="N45" s="49">
        <f>Actual[[#This Row],[Sep-26]]-Budget[[#This Row],[Sep-26]]</f>
        <v>-10000</v>
      </c>
      <c r="O45" s="49">
        <f>Actual[[#This Row],[Oct-26]]-Budget[[#This Row],[Oct-26]]</f>
        <v>-10000</v>
      </c>
      <c r="P45" s="49">
        <f>Actual[[#This Row],[Nov-26]]-Budget[[#This Row],[Nov-26]]</f>
        <v>-10000</v>
      </c>
      <c r="Q45" s="49">
        <f>Actual[[#This Row],[Dec-26]]-Budget[[#This Row],[Dec-26]]</f>
        <v>-10000</v>
      </c>
    </row>
    <row r="46" spans="1:17" x14ac:dyDescent="0.3">
      <c r="B46" s="27" t="s">
        <v>82</v>
      </c>
      <c r="C46" s="49">
        <f>Actual[[#This Row],[Oct-25]]-Budget[[#This Row],[Oct-25]]</f>
        <v>-25000</v>
      </c>
      <c r="D46" s="49">
        <f>Actual[[#This Row],[Nov-25]]-Budget[[#This Row],[Nov-25]]</f>
        <v>-10000</v>
      </c>
      <c r="E46" s="49">
        <f>Actual[[#This Row],[Dec-25]]-Budget[[#This Row],[Dec-25]]</f>
        <v>0</v>
      </c>
      <c r="F46" s="49">
        <f>Actual[[#This Row],[Jan-26]]-Budget[[#This Row],[Jan-26]]</f>
        <v>0</v>
      </c>
      <c r="G46" s="49">
        <f>Actual[[#This Row],[Feb-26]]-Budget[[#This Row],[Feb-26]]</f>
        <v>0</v>
      </c>
      <c r="H46" s="49">
        <f>Actual[[#This Row],[Mar-26]]-Budget[[#This Row],[Mar-26]]</f>
        <v>0</v>
      </c>
      <c r="I46" s="49">
        <f>Actual[[#This Row],[Apr-26]]-Budget[[#This Row],[Apr-26]]</f>
        <v>-25000</v>
      </c>
      <c r="J46" s="49">
        <f>Actual[[#This Row],[May-26]]-Budget[[#This Row],[May-26]]</f>
        <v>-25000</v>
      </c>
      <c r="K46" s="49">
        <f>Actual[[#This Row],[Jun-26]]-Budget[[#This Row],[Jun-26]]</f>
        <v>-25000</v>
      </c>
      <c r="L46" s="49">
        <f>Actual[[#This Row],[Jul-26]]-Budget[[#This Row],[Jul-26]]</f>
        <v>-25000</v>
      </c>
      <c r="M46" s="49">
        <f>Actual[[#This Row],[Aug-26]]-Budget[[#This Row],[Aug-26]]</f>
        <v>-25000</v>
      </c>
      <c r="N46" s="49">
        <f>Actual[[#This Row],[Sep-26]]-Budget[[#This Row],[Sep-26]]</f>
        <v>-25000</v>
      </c>
      <c r="O46" s="49">
        <f>Actual[[#This Row],[Oct-26]]-Budget[[#This Row],[Oct-26]]</f>
        <v>-25000</v>
      </c>
      <c r="P46" s="49">
        <f>Actual[[#This Row],[Nov-26]]-Budget[[#This Row],[Nov-26]]</f>
        <v>-25000</v>
      </c>
      <c r="Q46" s="49">
        <f>Actual[[#This Row],[Dec-26]]-Budget[[#This Row],[Dec-26]]</f>
        <v>-25000</v>
      </c>
    </row>
    <row r="47" spans="1:17" x14ac:dyDescent="0.3">
      <c r="B47" s="27" t="s">
        <v>83</v>
      </c>
      <c r="C47" s="49">
        <f>Actual[[#This Row],[Oct-25]]-Budget[[#This Row],[Oct-25]]</f>
        <v>0</v>
      </c>
      <c r="D47" s="49">
        <f>Actual[[#This Row],[Nov-25]]-Budget[[#This Row],[Nov-25]]</f>
        <v>0</v>
      </c>
      <c r="E47" s="49">
        <f>Actual[[#This Row],[Dec-25]]-Budget[[#This Row],[Dec-25]]</f>
        <v>0</v>
      </c>
      <c r="F47" s="49">
        <f>Actual[[#This Row],[Jan-26]]-Budget[[#This Row],[Jan-26]]</f>
        <v>0</v>
      </c>
      <c r="G47" s="49">
        <f>Actual[[#This Row],[Feb-26]]-Budget[[#This Row],[Feb-26]]</f>
        <v>0</v>
      </c>
      <c r="H47" s="49">
        <f>Actual[[#This Row],[Mar-26]]-Budget[[#This Row],[Mar-26]]</f>
        <v>0</v>
      </c>
      <c r="I47" s="49">
        <f>Actual[[#This Row],[Apr-26]]-Budget[[#This Row],[Apr-26]]</f>
        <v>0</v>
      </c>
      <c r="J47" s="49">
        <f>Actual[[#This Row],[May-26]]-Budget[[#This Row],[May-26]]</f>
        <v>0</v>
      </c>
      <c r="K47" s="49">
        <f>Actual[[#This Row],[Jun-26]]-Budget[[#This Row],[Jun-26]]</f>
        <v>0</v>
      </c>
      <c r="L47" s="49">
        <f>Actual[[#This Row],[Jul-26]]-Budget[[#This Row],[Jul-26]]</f>
        <v>0</v>
      </c>
      <c r="M47" s="49">
        <f>Actual[[#This Row],[Aug-26]]-Budget[[#This Row],[Aug-26]]</f>
        <v>0</v>
      </c>
      <c r="N47" s="49">
        <f>Actual[[#This Row],[Sep-26]]-Budget[[#This Row],[Sep-26]]</f>
        <v>0</v>
      </c>
      <c r="O47" s="49">
        <f>Actual[[#This Row],[Oct-26]]-Budget[[#This Row],[Oct-26]]</f>
        <v>0</v>
      </c>
      <c r="P47" s="49">
        <f>Actual[[#This Row],[Nov-26]]-Budget[[#This Row],[Nov-26]]</f>
        <v>0</v>
      </c>
      <c r="Q47" s="49">
        <f>Actual[[#This Row],[Dec-26]]-Budget[[#This Row],[Dec-26]]</f>
        <v>0</v>
      </c>
    </row>
    <row r="48" spans="1:17" x14ac:dyDescent="0.3">
      <c r="B48" s="27" t="s">
        <v>84</v>
      </c>
      <c r="C48" s="49">
        <f>Actual[[#This Row],[Oct-25]]-Budget[[#This Row],[Oct-25]]</f>
        <v>0</v>
      </c>
      <c r="D48" s="49">
        <f>Actual[[#This Row],[Nov-25]]-Budget[[#This Row],[Nov-25]]</f>
        <v>0</v>
      </c>
      <c r="E48" s="49">
        <f>Actual[[#This Row],[Dec-25]]-Budget[[#This Row],[Dec-25]]</f>
        <v>0</v>
      </c>
      <c r="F48" s="49">
        <f>Actual[[#This Row],[Jan-26]]-Budget[[#This Row],[Jan-26]]</f>
        <v>0</v>
      </c>
      <c r="G48" s="49">
        <f>Actual[[#This Row],[Feb-26]]-Budget[[#This Row],[Feb-26]]</f>
        <v>0</v>
      </c>
      <c r="H48" s="49">
        <f>Actual[[#This Row],[Mar-26]]-Budget[[#This Row],[Mar-26]]</f>
        <v>0</v>
      </c>
      <c r="I48" s="49">
        <f>Actual[[#This Row],[Apr-26]]-Budget[[#This Row],[Apr-26]]</f>
        <v>-5000</v>
      </c>
      <c r="J48" s="49">
        <f>Actual[[#This Row],[May-26]]-Budget[[#This Row],[May-26]]</f>
        <v>-5000</v>
      </c>
      <c r="K48" s="49">
        <f>Actual[[#This Row],[Jun-26]]-Budget[[#This Row],[Jun-26]]</f>
        <v>-5000</v>
      </c>
      <c r="L48" s="49">
        <f>Actual[[#This Row],[Jul-26]]-Budget[[#This Row],[Jul-26]]</f>
        <v>-5000</v>
      </c>
      <c r="M48" s="49">
        <f>Actual[[#This Row],[Aug-26]]-Budget[[#This Row],[Aug-26]]</f>
        <v>-5000</v>
      </c>
      <c r="N48" s="49">
        <f>Actual[[#This Row],[Sep-26]]-Budget[[#This Row],[Sep-26]]</f>
        <v>-5000</v>
      </c>
      <c r="O48" s="49">
        <f>Actual[[#This Row],[Oct-26]]-Budget[[#This Row],[Oct-26]]</f>
        <v>-5000</v>
      </c>
      <c r="P48" s="49">
        <f>Actual[[#This Row],[Nov-26]]-Budget[[#This Row],[Nov-26]]</f>
        <v>-5000</v>
      </c>
      <c r="Q48" s="49">
        <f>Actual[[#This Row],[Dec-26]]-Budget[[#This Row],[Dec-26]]</f>
        <v>-5000</v>
      </c>
    </row>
    <row r="49" spans="1:17" x14ac:dyDescent="0.3">
      <c r="B49" s="27" t="s">
        <v>87</v>
      </c>
      <c r="C49" s="49">
        <f>Actual[[#This Row],[Oct-25]]-Budget[[#This Row],[Oct-25]]</f>
        <v>1000</v>
      </c>
      <c r="D49" s="49">
        <f>Actual[[#This Row],[Nov-25]]-Budget[[#This Row],[Nov-25]]</f>
        <v>0</v>
      </c>
      <c r="E49" s="49">
        <f>Actual[[#This Row],[Dec-25]]-Budget[[#This Row],[Dec-25]]</f>
        <v>0</v>
      </c>
      <c r="F49" s="49">
        <f>Actual[[#This Row],[Jan-26]]-Budget[[#This Row],[Jan-26]]</f>
        <v>0</v>
      </c>
      <c r="G49" s="49">
        <f>Actual[[#This Row],[Feb-26]]-Budget[[#This Row],[Feb-26]]</f>
        <v>0</v>
      </c>
      <c r="H49" s="49">
        <f>Actual[[#This Row],[Mar-26]]-Budget[[#This Row],[Mar-26]]</f>
        <v>0</v>
      </c>
      <c r="I49" s="49">
        <f>Actual[[#This Row],[Apr-26]]-Budget[[#This Row],[Apr-26]]</f>
        <v>0</v>
      </c>
      <c r="J49" s="49">
        <f>Actual[[#This Row],[May-26]]-Budget[[#This Row],[May-26]]</f>
        <v>0</v>
      </c>
      <c r="K49" s="49">
        <f>Actual[[#This Row],[Jun-26]]-Budget[[#This Row],[Jun-26]]</f>
        <v>0</v>
      </c>
      <c r="L49" s="49">
        <f>Actual[[#This Row],[Jul-26]]-Budget[[#This Row],[Jul-26]]</f>
        <v>0</v>
      </c>
      <c r="M49" s="49">
        <f>Actual[[#This Row],[Aug-26]]-Budget[[#This Row],[Aug-26]]</f>
        <v>0</v>
      </c>
      <c r="N49" s="49">
        <f>Actual[[#This Row],[Sep-26]]-Budget[[#This Row],[Sep-26]]</f>
        <v>0</v>
      </c>
      <c r="O49" s="49">
        <f>Actual[[#This Row],[Oct-26]]-Budget[[#This Row],[Oct-26]]</f>
        <v>0</v>
      </c>
      <c r="P49" s="49">
        <f>Actual[[#This Row],[Nov-26]]-Budget[[#This Row],[Nov-26]]</f>
        <v>0</v>
      </c>
      <c r="Q49" s="49">
        <f>Actual[[#This Row],[Dec-26]]-Budget[[#This Row],[Dec-26]]</f>
        <v>0</v>
      </c>
    </row>
    <row r="50" spans="1:17" x14ac:dyDescent="0.3">
      <c r="B50" s="27" t="s">
        <v>92</v>
      </c>
      <c r="C50" s="49">
        <f>Actual[[#This Row],[Oct-25]]-Budget[[#This Row],[Oct-25]]</f>
        <v>0</v>
      </c>
      <c r="D50" s="49">
        <f>Actual[[#This Row],[Nov-25]]-Budget[[#This Row],[Nov-25]]</f>
        <v>0</v>
      </c>
      <c r="E50" s="49">
        <f>Actual[[#This Row],[Dec-25]]-Budget[[#This Row],[Dec-25]]</f>
        <v>0</v>
      </c>
      <c r="F50" s="49">
        <f>Actual[[#This Row],[Jan-26]]-Budget[[#This Row],[Jan-26]]</f>
        <v>0</v>
      </c>
      <c r="G50" s="49">
        <f>Actual[[#This Row],[Feb-26]]-Budget[[#This Row],[Feb-26]]</f>
        <v>0</v>
      </c>
      <c r="H50" s="49">
        <f>Actual[[#This Row],[Mar-26]]-Budget[[#This Row],[Mar-26]]</f>
        <v>0</v>
      </c>
      <c r="I50" s="49">
        <f>Actual[[#This Row],[Apr-26]]-Budget[[#This Row],[Apr-26]]</f>
        <v>0</v>
      </c>
      <c r="J50" s="49">
        <f>Actual[[#This Row],[May-26]]-Budget[[#This Row],[May-26]]</f>
        <v>0</v>
      </c>
      <c r="K50" s="49">
        <f>Actual[[#This Row],[Jun-26]]-Budget[[#This Row],[Jun-26]]</f>
        <v>0</v>
      </c>
      <c r="L50" s="49">
        <f>Actual[[#This Row],[Jul-26]]-Budget[[#This Row],[Jul-26]]</f>
        <v>0</v>
      </c>
      <c r="M50" s="49">
        <f>Actual[[#This Row],[Aug-26]]-Budget[[#This Row],[Aug-26]]</f>
        <v>0</v>
      </c>
      <c r="N50" s="49">
        <f>Actual[[#This Row],[Sep-26]]-Budget[[#This Row],[Sep-26]]</f>
        <v>0</v>
      </c>
      <c r="O50" s="49">
        <f>Actual[[#This Row],[Oct-26]]-Budget[[#This Row],[Oct-26]]</f>
        <v>0</v>
      </c>
      <c r="P50" s="49">
        <f>Actual[[#This Row],[Nov-26]]-Budget[[#This Row],[Nov-26]]</f>
        <v>0</v>
      </c>
      <c r="Q50" s="49">
        <f>Actual[[#This Row],[Dec-26]]-Budget[[#This Row],[Dec-26]]</f>
        <v>0</v>
      </c>
    </row>
    <row r="51" spans="1:17" ht="4.2" customHeight="1" thickBot="1" x14ac:dyDescent="0.35">
      <c r="B51" s="10"/>
      <c r="C51" s="68"/>
      <c r="D51" s="68"/>
      <c r="E51" s="68"/>
      <c r="F51" s="60"/>
      <c r="G51" s="60"/>
      <c r="H51" s="60"/>
      <c r="I51" s="60"/>
      <c r="J51" s="60"/>
      <c r="K51" s="60"/>
      <c r="L51" s="60"/>
      <c r="M51" s="60"/>
      <c r="N51" s="60"/>
      <c r="O51" s="60"/>
      <c r="P51" s="60"/>
      <c r="Q51" s="60"/>
    </row>
    <row r="52" spans="1:17" ht="16.2" thickBot="1" x14ac:dyDescent="0.35">
      <c r="A52" s="11" t="s">
        <v>139</v>
      </c>
      <c r="B52" s="22" t="s">
        <v>133</v>
      </c>
      <c r="C52" s="52">
        <f>SUM(C42:C50)</f>
        <v>-24000</v>
      </c>
      <c r="D52" s="52">
        <f t="shared" ref="D52:Q52" si="0">SUM(D42:D50)</f>
        <v>-15000</v>
      </c>
      <c r="E52" s="52">
        <f t="shared" si="0"/>
        <v>-2000</v>
      </c>
      <c r="F52" s="52">
        <f t="shared" si="0"/>
        <v>-10000</v>
      </c>
      <c r="G52" s="52">
        <f t="shared" si="0"/>
        <v>-5000</v>
      </c>
      <c r="H52" s="52">
        <f t="shared" si="0"/>
        <v>-5000</v>
      </c>
      <c r="I52" s="52">
        <f t="shared" si="0"/>
        <v>-58000</v>
      </c>
      <c r="J52" s="52">
        <f t="shared" si="0"/>
        <v>-58000</v>
      </c>
      <c r="K52" s="52">
        <f t="shared" si="0"/>
        <v>-60000</v>
      </c>
      <c r="L52" s="52">
        <f t="shared" si="0"/>
        <v>-64000</v>
      </c>
      <c r="M52" s="52">
        <f t="shared" si="0"/>
        <v>-61000</v>
      </c>
      <c r="N52" s="52">
        <f t="shared" si="0"/>
        <v>-63000</v>
      </c>
      <c r="O52" s="52">
        <f t="shared" si="0"/>
        <v>-59000</v>
      </c>
      <c r="P52" s="52">
        <f t="shared" si="0"/>
        <v>-61000</v>
      </c>
      <c r="Q52" s="52">
        <f t="shared" si="0"/>
        <v>-65000</v>
      </c>
    </row>
    <row r="53" spans="1:17" ht="4.2" customHeight="1" thickBot="1" x14ac:dyDescent="0.35">
      <c r="B53" s="10"/>
      <c r="C53" s="27"/>
      <c r="D53" s="27"/>
      <c r="E53" s="27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</row>
    <row r="54" spans="1:17" ht="16.2" thickBot="1" x14ac:dyDescent="0.35">
      <c r="A54" s="11" t="s">
        <v>180</v>
      </c>
      <c r="B54" s="22" t="s">
        <v>157</v>
      </c>
      <c r="C54" s="52">
        <f ca="1">Actual[[#This Row],[Oct-25]]-Budget[[#This Row],[Oct-25]]</f>
        <v>40254</v>
      </c>
      <c r="D54" s="52">
        <f ca="1">Actual[[#This Row],[Nov-25]]-Budget[[#This Row],[Nov-25]]</f>
        <v>13238</v>
      </c>
      <c r="E54" s="52">
        <f ca="1">Actual[[#This Row],[Dec-25]]-Budget[[#This Row],[Dec-25]]</f>
        <v>2732</v>
      </c>
      <c r="F54" s="52">
        <f ca="1">Actual[[#This Row],[Jan-26]]-Budget[[#This Row],[Jan-26]]</f>
        <v>13729</v>
      </c>
      <c r="G54" s="52">
        <f ca="1">Actual[[#This Row],[Feb-26]]-Budget[[#This Row],[Feb-26]]</f>
        <v>3855</v>
      </c>
      <c r="H54" s="52">
        <f ca="1">Actual[[#This Row],[Mar-26]]-Budget[[#This Row],[Mar-26]]</f>
        <v>2474</v>
      </c>
      <c r="I54" s="52">
        <f ca="1">Actual[[#This Row],[Apr-26]]-Budget[[#This Row],[Apr-26]]</f>
        <v>-71</v>
      </c>
      <c r="J54" s="52">
        <f ca="1">Actual[[#This Row],[May-26]]-Budget[[#This Row],[May-26]]</f>
        <v>2544</v>
      </c>
      <c r="K54" s="52">
        <f ca="1">Actual[[#This Row],[Jun-26]]-Budget[[#This Row],[Jun-26]]</f>
        <v>2989</v>
      </c>
      <c r="L54" s="52">
        <f ca="1">Actual[[#This Row],[Jul-26]]-Budget[[#This Row],[Jul-26]]</f>
        <v>6868</v>
      </c>
      <c r="M54" s="52">
        <f ca="1">Actual[[#This Row],[Aug-26]]-Budget[[#This Row],[Aug-26]]</f>
        <v>-3163</v>
      </c>
      <c r="N54" s="52">
        <f ca="1">Actual[[#This Row],[Sep-26]]-Budget[[#This Row],[Sep-26]]</f>
        <v>1469</v>
      </c>
      <c r="O54" s="52">
        <f ca="1">Actual[[#This Row],[Oct-26]]-Budget[[#This Row],[Oct-26]]</f>
        <v>-3260</v>
      </c>
      <c r="P54" s="52">
        <f ca="1">Actual[[#This Row],[Nov-26]]-Budget[[#This Row],[Nov-26]]</f>
        <v>-1353</v>
      </c>
      <c r="Q54" s="52">
        <f ca="1">Actual[[#This Row],[Dec-26]]-Budget[[#This Row],[Dec-26]]</f>
        <v>5275</v>
      </c>
    </row>
    <row r="56" spans="1:17" x14ac:dyDescent="0.3">
      <c r="B56" s="72" t="s">
        <v>184</v>
      </c>
    </row>
    <row r="57" spans="1:17" x14ac:dyDescent="0.3">
      <c r="B57" s="73" t="s">
        <v>207</v>
      </c>
      <c r="E57" s="73" t="s">
        <v>209</v>
      </c>
      <c r="I57" s="73" t="s">
        <v>210</v>
      </c>
    </row>
    <row r="58" spans="1:17" x14ac:dyDescent="0.3">
      <c r="B58" s="73" t="s">
        <v>208</v>
      </c>
      <c r="E58" s="73" t="s">
        <v>206</v>
      </c>
      <c r="I58" s="73" t="s">
        <v>211</v>
      </c>
    </row>
  </sheetData>
  <mergeCells count="1">
    <mergeCell ref="B2:Q2"/>
  </mergeCells>
  <phoneticPr fontId="4" type="noConversion"/>
  <printOptions horizontalCentered="1" verticalCentered="1"/>
  <pageMargins left="0.39370078740157483" right="0.39370078740157483" top="0.39370078740157483" bottom="0.39370078740157483" header="0.39370078740157483" footer="0.39370078740157483"/>
  <pageSetup paperSize="9" scale="66" fitToHeight="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1DDAA-BC29-43C2-9004-42EAA0677222}">
  <sheetPr codeName="Sheet6">
    <pageSetUpPr fitToPage="1"/>
  </sheetPr>
  <dimension ref="A2:S54"/>
  <sheetViews>
    <sheetView showGridLines="0" view="pageBreakPreview" topLeftCell="A11" zoomScale="60" zoomScaleNormal="85" workbookViewId="0">
      <selection activeCell="B56" sqref="B56"/>
    </sheetView>
  </sheetViews>
  <sheetFormatPr defaultRowHeight="15.6" x14ac:dyDescent="0.3"/>
  <cols>
    <col min="1" max="1" width="2.33203125" style="11" customWidth="1"/>
    <col min="2" max="2" width="27.109375" bestFit="1" customWidth="1"/>
    <col min="3" max="17" width="12.21875" bestFit="1" customWidth="1"/>
    <col min="18" max="18" width="14.33203125" bestFit="1" customWidth="1"/>
    <col min="19" max="19" width="15.77734375" bestFit="1" customWidth="1"/>
  </cols>
  <sheetData>
    <row r="2" spans="1:19" ht="24" customHeight="1" x14ac:dyDescent="0.3">
      <c r="B2" s="109" t="s">
        <v>156</v>
      </c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</row>
    <row r="3" spans="1:19" ht="4.8" customHeight="1" x14ac:dyDescent="0.3"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</row>
    <row r="4" spans="1:19" x14ac:dyDescent="0.3">
      <c r="A4" s="11" t="s">
        <v>140</v>
      </c>
      <c r="B4" s="18" t="s">
        <v>212</v>
      </c>
      <c r="C4" s="41" t="s">
        <v>181</v>
      </c>
      <c r="D4" s="41" t="s">
        <v>182</v>
      </c>
      <c r="E4" s="41" t="s">
        <v>183</v>
      </c>
      <c r="F4" s="24" t="s">
        <v>144</v>
      </c>
      <c r="G4" s="24" t="s">
        <v>145</v>
      </c>
      <c r="H4" s="24" t="s">
        <v>146</v>
      </c>
      <c r="I4" s="24" t="s">
        <v>147</v>
      </c>
      <c r="J4" s="24" t="s">
        <v>148</v>
      </c>
      <c r="K4" s="24" t="s">
        <v>149</v>
      </c>
      <c r="L4" s="24" t="s">
        <v>150</v>
      </c>
      <c r="M4" s="24" t="s">
        <v>151</v>
      </c>
      <c r="N4" s="24" t="s">
        <v>152</v>
      </c>
      <c r="O4" s="24" t="s">
        <v>153</v>
      </c>
      <c r="P4" s="24" t="s">
        <v>154</v>
      </c>
      <c r="Q4" s="24" t="s">
        <v>155</v>
      </c>
      <c r="R4" s="41" t="s">
        <v>176</v>
      </c>
      <c r="S4" s="71" t="s">
        <v>218</v>
      </c>
    </row>
    <row r="5" spans="1:19" ht="4.2" customHeight="1" x14ac:dyDescent="0.3">
      <c r="B5" s="1"/>
      <c r="C5" s="1"/>
      <c r="D5" s="1"/>
      <c r="E5" s="1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40"/>
      <c r="S5" s="40">
        <f>SUM(Actual[[#This Row],[Oct-25]:[Dec-26]])</f>
        <v>0</v>
      </c>
    </row>
    <row r="6" spans="1:19" x14ac:dyDescent="0.3">
      <c r="B6" s="27" t="s">
        <v>0</v>
      </c>
      <c r="C6" s="53">
        <f>DATA!C5</f>
        <v>127000</v>
      </c>
      <c r="D6" s="53">
        <f>DATA!D5</f>
        <v>120000</v>
      </c>
      <c r="E6" s="53">
        <f>DATA!E5</f>
        <v>120000</v>
      </c>
      <c r="F6" s="53">
        <f>DATA!F5</f>
        <v>125000</v>
      </c>
      <c r="G6" s="53">
        <f>DATA!G5</f>
        <v>120000</v>
      </c>
      <c r="H6" s="53">
        <f>DATA!H5</f>
        <v>125000</v>
      </c>
      <c r="I6" s="53">
        <f>DATA!I5</f>
        <v>0</v>
      </c>
      <c r="J6" s="53">
        <f>DATA!J5</f>
        <v>0</v>
      </c>
      <c r="K6" s="53">
        <f>DATA!K5</f>
        <v>0</v>
      </c>
      <c r="L6" s="53">
        <f>DATA!L5</f>
        <v>0</v>
      </c>
      <c r="M6" s="53">
        <f>DATA!M5</f>
        <v>0</v>
      </c>
      <c r="N6" s="53">
        <f>DATA!N5</f>
        <v>0</v>
      </c>
      <c r="O6" s="53">
        <f>DATA!O5</f>
        <v>0</v>
      </c>
      <c r="P6" s="53">
        <f>DATA!P5</f>
        <v>0</v>
      </c>
      <c r="Q6" s="53">
        <f>DATA!Q5</f>
        <v>0</v>
      </c>
      <c r="R6" s="53">
        <f>AVERAGE(Actual[[#This Row],[Oct-25]:[Dec-26]])</f>
        <v>49133.333333333336</v>
      </c>
      <c r="S6" s="53">
        <f>SUM(Actual[[#This Row],[Oct-25]:[Dec-26]])</f>
        <v>737000</v>
      </c>
    </row>
    <row r="7" spans="1:19" x14ac:dyDescent="0.3">
      <c r="B7" s="27" t="s">
        <v>4</v>
      </c>
      <c r="C7" s="53">
        <f>DATA!C6</f>
        <v>20000</v>
      </c>
      <c r="D7" s="53">
        <f>DATA!D6</f>
        <v>10000</v>
      </c>
      <c r="E7" s="53">
        <f>DATA!E6</f>
        <v>10000</v>
      </c>
      <c r="F7" s="53">
        <f>DATA!F6</f>
        <v>10000</v>
      </c>
      <c r="G7" s="53">
        <f>DATA!G6</f>
        <v>10000</v>
      </c>
      <c r="H7" s="53">
        <f>DATA!H6</f>
        <v>10000</v>
      </c>
      <c r="I7" s="53">
        <f>DATA!I6</f>
        <v>0</v>
      </c>
      <c r="J7" s="53">
        <f>DATA!J6</f>
        <v>0</v>
      </c>
      <c r="K7" s="53">
        <f>DATA!K6</f>
        <v>0</v>
      </c>
      <c r="L7" s="53">
        <f>DATA!L6</f>
        <v>0</v>
      </c>
      <c r="M7" s="53">
        <f>DATA!M6</f>
        <v>0</v>
      </c>
      <c r="N7" s="53">
        <f>DATA!N6</f>
        <v>0</v>
      </c>
      <c r="O7" s="53">
        <f>DATA!O6</f>
        <v>0</v>
      </c>
      <c r="P7" s="53">
        <f>DATA!P6</f>
        <v>0</v>
      </c>
      <c r="Q7" s="53">
        <f>DATA!Q6</f>
        <v>0</v>
      </c>
      <c r="R7" s="53">
        <f>AVERAGE(Actual[[#This Row],[Oct-25]:[Dec-26]])</f>
        <v>4666.666666666667</v>
      </c>
      <c r="S7" s="53">
        <f>SUM(Actual[[#This Row],[Oct-25]:[Dec-26]])</f>
        <v>70000</v>
      </c>
    </row>
    <row r="8" spans="1:19" x14ac:dyDescent="0.3">
      <c r="B8" s="27" t="s">
        <v>9</v>
      </c>
      <c r="C8" s="53">
        <f>DATA!C7</f>
        <v>13801</v>
      </c>
      <c r="D8" s="53">
        <f>DATA!D7</f>
        <v>13801</v>
      </c>
      <c r="E8" s="53">
        <f>DATA!E7</f>
        <v>13801</v>
      </c>
      <c r="F8" s="53">
        <f>DATA!F7</f>
        <v>13801</v>
      </c>
      <c r="G8" s="53">
        <f>DATA!G7</f>
        <v>13801</v>
      </c>
      <c r="H8" s="53">
        <f>DATA!H7</f>
        <v>13801</v>
      </c>
      <c r="I8" s="53">
        <f>DATA!I7</f>
        <v>0</v>
      </c>
      <c r="J8" s="53">
        <f>DATA!J7</f>
        <v>0</v>
      </c>
      <c r="K8" s="53">
        <f>DATA!K7</f>
        <v>0</v>
      </c>
      <c r="L8" s="53">
        <f>DATA!L7</f>
        <v>0</v>
      </c>
      <c r="M8" s="53">
        <f>DATA!M7</f>
        <v>0</v>
      </c>
      <c r="N8" s="53">
        <f>DATA!N7</f>
        <v>0</v>
      </c>
      <c r="O8" s="53">
        <f>DATA!O7</f>
        <v>0</v>
      </c>
      <c r="P8" s="53">
        <f>DATA!P7</f>
        <v>0</v>
      </c>
      <c r="Q8" s="53">
        <f>DATA!Q7</f>
        <v>0</v>
      </c>
      <c r="R8" s="53">
        <f>AVERAGE(Actual[[#This Row],[Oct-25]:[Dec-26]])</f>
        <v>5520.4</v>
      </c>
      <c r="S8" s="53">
        <f>SUM(Actual[[#This Row],[Oct-25]:[Dec-26]])</f>
        <v>82806</v>
      </c>
    </row>
    <row r="9" spans="1:19" x14ac:dyDescent="0.3">
      <c r="B9" s="27" t="s">
        <v>14</v>
      </c>
      <c r="C9" s="53">
        <f>DATA!C8</f>
        <v>1240</v>
      </c>
      <c r="D9" s="53">
        <f>DATA!D8</f>
        <v>1240</v>
      </c>
      <c r="E9" s="53">
        <f>DATA!E8</f>
        <v>1240</v>
      </c>
      <c r="F9" s="53">
        <f>DATA!F8</f>
        <v>1240</v>
      </c>
      <c r="G9" s="53">
        <f>DATA!G8</f>
        <v>1240</v>
      </c>
      <c r="H9" s="53">
        <f>DATA!H8</f>
        <v>1240</v>
      </c>
      <c r="I9" s="53">
        <f>DATA!I8</f>
        <v>0</v>
      </c>
      <c r="J9" s="53">
        <f>DATA!J8</f>
        <v>0</v>
      </c>
      <c r="K9" s="53">
        <f>DATA!K8</f>
        <v>0</v>
      </c>
      <c r="L9" s="53">
        <f>DATA!L8</f>
        <v>0</v>
      </c>
      <c r="M9" s="53">
        <f>DATA!M8</f>
        <v>0</v>
      </c>
      <c r="N9" s="53">
        <f>DATA!N8</f>
        <v>0</v>
      </c>
      <c r="O9" s="53">
        <f>DATA!O8</f>
        <v>0</v>
      </c>
      <c r="P9" s="53">
        <f>DATA!P8</f>
        <v>0</v>
      </c>
      <c r="Q9" s="53">
        <f>DATA!Q8</f>
        <v>0</v>
      </c>
      <c r="R9" s="53">
        <f>AVERAGE(Actual[[#This Row],[Oct-25]:[Dec-26]])</f>
        <v>496</v>
      </c>
      <c r="S9" s="53">
        <f>SUM(Actual[[#This Row],[Oct-25]:[Dec-26]])</f>
        <v>7440</v>
      </c>
    </row>
    <row r="10" spans="1:19" x14ac:dyDescent="0.3">
      <c r="B10" s="27" t="s">
        <v>17</v>
      </c>
      <c r="C10" s="53">
        <f>DATA!C9</f>
        <v>14997</v>
      </c>
      <c r="D10" s="53">
        <f>DATA!D9</f>
        <v>14997</v>
      </c>
      <c r="E10" s="53">
        <f>DATA!E9</f>
        <v>14997</v>
      </c>
      <c r="F10" s="53">
        <f>DATA!F9</f>
        <v>14997</v>
      </c>
      <c r="G10" s="53">
        <f>DATA!G9</f>
        <v>14997</v>
      </c>
      <c r="H10" s="53">
        <f>DATA!H9</f>
        <v>14997</v>
      </c>
      <c r="I10" s="53">
        <f>DATA!I9</f>
        <v>0</v>
      </c>
      <c r="J10" s="53">
        <f>DATA!J9</f>
        <v>0</v>
      </c>
      <c r="K10" s="53">
        <f>DATA!K9</f>
        <v>0</v>
      </c>
      <c r="L10" s="53">
        <f>DATA!L9</f>
        <v>0</v>
      </c>
      <c r="M10" s="53">
        <f>DATA!M9</f>
        <v>0</v>
      </c>
      <c r="N10" s="53">
        <f>DATA!N9</f>
        <v>0</v>
      </c>
      <c r="O10" s="53">
        <f>DATA!O9</f>
        <v>0</v>
      </c>
      <c r="P10" s="53">
        <f>DATA!P9</f>
        <v>0</v>
      </c>
      <c r="Q10" s="53">
        <f>DATA!Q9</f>
        <v>0</v>
      </c>
      <c r="R10" s="53">
        <f>AVERAGE(Actual[[#This Row],[Oct-25]:[Dec-26]])</f>
        <v>5998.8</v>
      </c>
      <c r="S10" s="53">
        <f>SUM(Actual[[#This Row],[Oct-25]:[Dec-26]])</f>
        <v>89982</v>
      </c>
    </row>
    <row r="11" spans="1:19" x14ac:dyDescent="0.3">
      <c r="B11" s="10" t="s">
        <v>18</v>
      </c>
      <c r="C11" s="53">
        <f>DATA!C10</f>
        <v>3397</v>
      </c>
      <c r="D11" s="53">
        <f>DATA!D10</f>
        <v>3397</v>
      </c>
      <c r="E11" s="53">
        <f>DATA!E10</f>
        <v>3397</v>
      </c>
      <c r="F11" s="53">
        <f>DATA!F10</f>
        <v>3397</v>
      </c>
      <c r="G11" s="53">
        <f>DATA!G10</f>
        <v>3397</v>
      </c>
      <c r="H11" s="53">
        <f>DATA!H10</f>
        <v>3397</v>
      </c>
      <c r="I11" s="53">
        <f>DATA!I10</f>
        <v>0</v>
      </c>
      <c r="J11" s="53">
        <f>DATA!J10</f>
        <v>0</v>
      </c>
      <c r="K11" s="53">
        <f>DATA!K10</f>
        <v>0</v>
      </c>
      <c r="L11" s="53">
        <f>DATA!L10</f>
        <v>0</v>
      </c>
      <c r="M11" s="53">
        <f>DATA!M10</f>
        <v>0</v>
      </c>
      <c r="N11" s="53">
        <f>DATA!N10</f>
        <v>0</v>
      </c>
      <c r="O11" s="53">
        <f>DATA!O10</f>
        <v>0</v>
      </c>
      <c r="P11" s="53">
        <f>DATA!P10</f>
        <v>0</v>
      </c>
      <c r="Q11" s="53">
        <f>DATA!Q10</f>
        <v>0</v>
      </c>
      <c r="R11" s="53">
        <f>AVERAGE(Actual[[#This Row],[Oct-25]:[Dec-26]])</f>
        <v>1358.8</v>
      </c>
      <c r="S11" s="53">
        <f>SUM(Actual[[#This Row],[Oct-25]:[Dec-26]])</f>
        <v>20382</v>
      </c>
    </row>
    <row r="12" spans="1:19" x14ac:dyDescent="0.3">
      <c r="A12" s="11" t="s">
        <v>134</v>
      </c>
      <c r="B12" s="17" t="s">
        <v>2</v>
      </c>
      <c r="C12" s="51">
        <f t="shared" ref="C12:E12" si="0">SUM(C6:C11)</f>
        <v>180435</v>
      </c>
      <c r="D12" s="51">
        <f t="shared" si="0"/>
        <v>163435</v>
      </c>
      <c r="E12" s="51">
        <f t="shared" si="0"/>
        <v>163435</v>
      </c>
      <c r="F12" s="51">
        <f>SUM(F6:F11)</f>
        <v>168435</v>
      </c>
      <c r="G12" s="51">
        <f t="shared" ref="G12:R12" si="1">SUM(G6:G11)</f>
        <v>163435</v>
      </c>
      <c r="H12" s="51">
        <f t="shared" si="1"/>
        <v>168435</v>
      </c>
      <c r="I12" s="51">
        <f t="shared" si="1"/>
        <v>0</v>
      </c>
      <c r="J12" s="51">
        <f t="shared" si="1"/>
        <v>0</v>
      </c>
      <c r="K12" s="51">
        <f t="shared" si="1"/>
        <v>0</v>
      </c>
      <c r="L12" s="51">
        <f t="shared" si="1"/>
        <v>0</v>
      </c>
      <c r="M12" s="51">
        <f t="shared" si="1"/>
        <v>0</v>
      </c>
      <c r="N12" s="51">
        <f t="shared" si="1"/>
        <v>0</v>
      </c>
      <c r="O12" s="51">
        <f t="shared" si="1"/>
        <v>0</v>
      </c>
      <c r="P12" s="51">
        <f t="shared" si="1"/>
        <v>0</v>
      </c>
      <c r="Q12" s="51">
        <f t="shared" si="1"/>
        <v>0</v>
      </c>
      <c r="R12" s="51">
        <f t="shared" si="1"/>
        <v>67174</v>
      </c>
      <c r="S12" s="51">
        <f>SUM(Actual[[#This Row],[Oct-25]:[Dec-26]])</f>
        <v>1007610</v>
      </c>
    </row>
    <row r="13" spans="1:19" x14ac:dyDescent="0.3">
      <c r="B13" s="2"/>
      <c r="C13" s="2"/>
      <c r="D13" s="2"/>
      <c r="E13" s="2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78"/>
      <c r="S13" s="78"/>
    </row>
    <row r="14" spans="1:19" x14ac:dyDescent="0.3">
      <c r="B14" s="18" t="s">
        <v>22</v>
      </c>
      <c r="C14" s="18"/>
      <c r="D14" s="18"/>
      <c r="E14" s="18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78"/>
      <c r="S14" s="78"/>
    </row>
    <row r="15" spans="1:19" ht="4.2" customHeight="1" x14ac:dyDescent="0.3">
      <c r="B15" s="12"/>
      <c r="C15" s="12"/>
      <c r="D15" s="12"/>
      <c r="E15" s="12"/>
      <c r="F15" s="13"/>
      <c r="G15" s="13"/>
      <c r="H15" s="13"/>
      <c r="I15" s="23"/>
      <c r="J15" s="13"/>
      <c r="K15" s="13"/>
      <c r="L15" s="13"/>
      <c r="M15" s="13"/>
      <c r="N15" s="13"/>
      <c r="O15" s="13"/>
      <c r="P15" s="13"/>
      <c r="Q15" s="13"/>
      <c r="R15" s="79"/>
      <c r="S15" s="79"/>
    </row>
    <row r="16" spans="1:19" x14ac:dyDescent="0.3">
      <c r="B16" s="27" t="s">
        <v>1</v>
      </c>
      <c r="C16" s="53">
        <f>DATA!C14</f>
        <v>35000</v>
      </c>
      <c r="D16" s="53">
        <f>DATA!D14</f>
        <v>35000</v>
      </c>
      <c r="E16" s="53">
        <f>DATA!E14</f>
        <v>35000</v>
      </c>
      <c r="F16" s="53">
        <f>DATA!F14</f>
        <v>35000</v>
      </c>
      <c r="G16" s="53">
        <f>DATA!G14</f>
        <v>35000</v>
      </c>
      <c r="H16" s="53">
        <f>DATA!H14</f>
        <v>40000</v>
      </c>
      <c r="I16" s="53">
        <f>DATA!I14</f>
        <v>0</v>
      </c>
      <c r="J16" s="53">
        <f>DATA!J14</f>
        <v>0</v>
      </c>
      <c r="K16" s="53">
        <f>DATA!K14</f>
        <v>0</v>
      </c>
      <c r="L16" s="53">
        <f>DATA!L14</f>
        <v>0</v>
      </c>
      <c r="M16" s="53">
        <f>DATA!M14</f>
        <v>0</v>
      </c>
      <c r="N16" s="53">
        <f>DATA!N14</f>
        <v>0</v>
      </c>
      <c r="O16" s="53">
        <f>DATA!O14</f>
        <v>0</v>
      </c>
      <c r="P16" s="53">
        <f>DATA!P14</f>
        <v>0</v>
      </c>
      <c r="Q16" s="53">
        <f>DATA!Q14</f>
        <v>0</v>
      </c>
      <c r="R16" s="53">
        <f>AVERAGE(Actual[[#This Row],[Oct-25]:[Dec-26]])</f>
        <v>14333.333333333334</v>
      </c>
      <c r="S16" s="53">
        <f>SUM(Actual[[#This Row],[Oct-25]:[Dec-26]])</f>
        <v>215000</v>
      </c>
    </row>
    <row r="17" spans="1:19" x14ac:dyDescent="0.3">
      <c r="B17" s="27" t="s">
        <v>26</v>
      </c>
      <c r="C17" s="53">
        <f>DATA!C15</f>
        <v>7891</v>
      </c>
      <c r="D17" s="53">
        <f>DATA!D15</f>
        <v>7891</v>
      </c>
      <c r="E17" s="53">
        <f>DATA!E15</f>
        <v>7891</v>
      </c>
      <c r="F17" s="53">
        <f>DATA!F15</f>
        <v>7891</v>
      </c>
      <c r="G17" s="53">
        <f>DATA!G15</f>
        <v>7891</v>
      </c>
      <c r="H17" s="53">
        <f>DATA!H15</f>
        <v>7891</v>
      </c>
      <c r="I17" s="53">
        <f>DATA!I15</f>
        <v>0</v>
      </c>
      <c r="J17" s="53">
        <f>DATA!J15</f>
        <v>0</v>
      </c>
      <c r="K17" s="53">
        <f>DATA!K15</f>
        <v>0</v>
      </c>
      <c r="L17" s="53">
        <f>DATA!L15</f>
        <v>0</v>
      </c>
      <c r="M17" s="53">
        <f>DATA!M15</f>
        <v>0</v>
      </c>
      <c r="N17" s="53">
        <f>DATA!N15</f>
        <v>0</v>
      </c>
      <c r="O17" s="53">
        <f>DATA!O15</f>
        <v>0</v>
      </c>
      <c r="P17" s="53">
        <f>DATA!P15</f>
        <v>0</v>
      </c>
      <c r="Q17" s="53">
        <f>DATA!Q15</f>
        <v>0</v>
      </c>
      <c r="R17" s="53">
        <f>AVERAGE(Actual[[#This Row],[Oct-25]:[Dec-26]])</f>
        <v>3156.4</v>
      </c>
      <c r="S17" s="53">
        <f>SUM(Actual[[#This Row],[Oct-25]:[Dec-26]])</f>
        <v>47346</v>
      </c>
    </row>
    <row r="18" spans="1:19" x14ac:dyDescent="0.3">
      <c r="B18" s="27" t="s">
        <v>32</v>
      </c>
      <c r="C18" s="53">
        <f>DATA!C16</f>
        <v>5000</v>
      </c>
      <c r="D18" s="53">
        <f>DATA!D16</f>
        <v>5000</v>
      </c>
      <c r="E18" s="53">
        <f>DATA!E16</f>
        <v>5000</v>
      </c>
      <c r="F18" s="53">
        <f>DATA!F16</f>
        <v>5000</v>
      </c>
      <c r="G18" s="53">
        <f>DATA!G16</f>
        <v>5000</v>
      </c>
      <c r="H18" s="53">
        <f>DATA!H16</f>
        <v>5000</v>
      </c>
      <c r="I18" s="53">
        <f>DATA!I16</f>
        <v>0</v>
      </c>
      <c r="J18" s="53">
        <f>DATA!J16</f>
        <v>0</v>
      </c>
      <c r="K18" s="53">
        <f>DATA!K16</f>
        <v>0</v>
      </c>
      <c r="L18" s="53">
        <f>DATA!L16</f>
        <v>0</v>
      </c>
      <c r="M18" s="53">
        <f>DATA!M16</f>
        <v>0</v>
      </c>
      <c r="N18" s="53">
        <f>DATA!N16</f>
        <v>0</v>
      </c>
      <c r="O18" s="53">
        <f>DATA!O16</f>
        <v>0</v>
      </c>
      <c r="P18" s="53">
        <f>DATA!P16</f>
        <v>0</v>
      </c>
      <c r="Q18" s="53">
        <f>DATA!Q16</f>
        <v>0</v>
      </c>
      <c r="R18" s="53">
        <f>AVERAGE(Actual[[#This Row],[Oct-25]:[Dec-26]])</f>
        <v>2000</v>
      </c>
      <c r="S18" s="53">
        <f>SUM(Actual[[#This Row],[Oct-25]:[Dec-26]])</f>
        <v>30000</v>
      </c>
    </row>
    <row r="19" spans="1:19" x14ac:dyDescent="0.3">
      <c r="B19" s="27" t="s">
        <v>40</v>
      </c>
      <c r="C19" s="53">
        <f>DATA!C17</f>
        <v>35000</v>
      </c>
      <c r="D19" s="53">
        <f>DATA!D17</f>
        <v>35000</v>
      </c>
      <c r="E19" s="53">
        <f>DATA!E17</f>
        <v>35000</v>
      </c>
      <c r="F19" s="53">
        <f>DATA!F17</f>
        <v>35000</v>
      </c>
      <c r="G19" s="53">
        <f>DATA!G17</f>
        <v>35000</v>
      </c>
      <c r="H19" s="53">
        <f>DATA!H17</f>
        <v>35000</v>
      </c>
      <c r="I19" s="53">
        <f>DATA!I17</f>
        <v>0</v>
      </c>
      <c r="J19" s="53">
        <f>DATA!J17</f>
        <v>0</v>
      </c>
      <c r="K19" s="53">
        <f>DATA!K17</f>
        <v>0</v>
      </c>
      <c r="L19" s="53">
        <f>DATA!L17</f>
        <v>0</v>
      </c>
      <c r="M19" s="53">
        <f>DATA!M17</f>
        <v>0</v>
      </c>
      <c r="N19" s="53">
        <f>DATA!N17</f>
        <v>0</v>
      </c>
      <c r="O19" s="53">
        <f>DATA!O17</f>
        <v>0</v>
      </c>
      <c r="P19" s="53">
        <f>DATA!P17</f>
        <v>0</v>
      </c>
      <c r="Q19" s="53">
        <f>DATA!Q17</f>
        <v>0</v>
      </c>
      <c r="R19" s="53">
        <f>AVERAGE(Actual[[#This Row],[Oct-25]:[Dec-26]])</f>
        <v>14000</v>
      </c>
      <c r="S19" s="53">
        <f>SUM(Actual[[#This Row],[Oct-25]:[Dec-26]])</f>
        <v>210000</v>
      </c>
    </row>
    <row r="20" spans="1:19" x14ac:dyDescent="0.3">
      <c r="B20" s="27" t="s">
        <v>46</v>
      </c>
      <c r="C20" s="53">
        <f>DATA!C18</f>
        <v>2800</v>
      </c>
      <c r="D20" s="53">
        <f>DATA!D18</f>
        <v>2800</v>
      </c>
      <c r="E20" s="53">
        <f>DATA!E18</f>
        <v>2800</v>
      </c>
      <c r="F20" s="53">
        <f>DATA!F18</f>
        <v>2800</v>
      </c>
      <c r="G20" s="53">
        <f>DATA!G18</f>
        <v>2800</v>
      </c>
      <c r="H20" s="53">
        <f>DATA!H18</f>
        <v>2800</v>
      </c>
      <c r="I20" s="53">
        <f>DATA!I18</f>
        <v>0</v>
      </c>
      <c r="J20" s="53">
        <f>DATA!J18</f>
        <v>0</v>
      </c>
      <c r="K20" s="53">
        <f>DATA!K18</f>
        <v>0</v>
      </c>
      <c r="L20" s="53">
        <f>DATA!L18</f>
        <v>0</v>
      </c>
      <c r="M20" s="53">
        <f>DATA!M18</f>
        <v>0</v>
      </c>
      <c r="N20" s="53">
        <f>DATA!N18</f>
        <v>0</v>
      </c>
      <c r="O20" s="53">
        <f>DATA!O18</f>
        <v>0</v>
      </c>
      <c r="P20" s="53">
        <f>DATA!P18</f>
        <v>0</v>
      </c>
      <c r="Q20" s="53">
        <f>DATA!Q18</f>
        <v>0</v>
      </c>
      <c r="R20" s="53">
        <f>AVERAGE(Actual[[#This Row],[Oct-25]:[Dec-26]])</f>
        <v>1120</v>
      </c>
      <c r="S20" s="53">
        <f>SUM(Actual[[#This Row],[Oct-25]:[Dec-26]])</f>
        <v>16800</v>
      </c>
    </row>
    <row r="21" spans="1:19" x14ac:dyDescent="0.3">
      <c r="B21" s="27" t="s">
        <v>50</v>
      </c>
      <c r="C21" s="53">
        <f>DATA!C19</f>
        <v>1440</v>
      </c>
      <c r="D21" s="53">
        <f>DATA!D19</f>
        <v>1440</v>
      </c>
      <c r="E21" s="53">
        <f>DATA!E19</f>
        <v>1440</v>
      </c>
      <c r="F21" s="53">
        <f>DATA!F19</f>
        <v>1440</v>
      </c>
      <c r="G21" s="53">
        <f>DATA!G19</f>
        <v>1440</v>
      </c>
      <c r="H21" s="53">
        <f>DATA!H19</f>
        <v>1440</v>
      </c>
      <c r="I21" s="53">
        <f>DATA!I19</f>
        <v>0</v>
      </c>
      <c r="J21" s="53">
        <f>DATA!J19</f>
        <v>0</v>
      </c>
      <c r="K21" s="53">
        <f>DATA!K19</f>
        <v>0</v>
      </c>
      <c r="L21" s="53">
        <f>DATA!L19</f>
        <v>0</v>
      </c>
      <c r="M21" s="53">
        <f>DATA!M19</f>
        <v>0</v>
      </c>
      <c r="N21" s="53">
        <f>DATA!N19</f>
        <v>0</v>
      </c>
      <c r="O21" s="53">
        <f>DATA!O19</f>
        <v>0</v>
      </c>
      <c r="P21" s="53">
        <f>DATA!P19</f>
        <v>0</v>
      </c>
      <c r="Q21" s="53">
        <f>DATA!Q19</f>
        <v>0</v>
      </c>
      <c r="R21" s="53">
        <f>AVERAGE(Actual[[#This Row],[Oct-25]:[Dec-26]])</f>
        <v>576</v>
      </c>
      <c r="S21" s="53">
        <f>SUM(Actual[[#This Row],[Oct-25]:[Dec-26]])</f>
        <v>8640</v>
      </c>
    </row>
    <row r="22" spans="1:19" x14ac:dyDescent="0.3">
      <c r="B22" s="27" t="s">
        <v>53</v>
      </c>
      <c r="C22" s="53">
        <f>DATA!C20</f>
        <v>5000</v>
      </c>
      <c r="D22" s="53">
        <f>DATA!D20</f>
        <v>5000</v>
      </c>
      <c r="E22" s="53">
        <f>DATA!E20</f>
        <v>5000</v>
      </c>
      <c r="F22" s="53">
        <f>DATA!F20</f>
        <v>5000</v>
      </c>
      <c r="G22" s="53">
        <f>DATA!G20</f>
        <v>5000</v>
      </c>
      <c r="H22" s="53">
        <f>DATA!H20</f>
        <v>5000</v>
      </c>
      <c r="I22" s="53">
        <f>DATA!I20</f>
        <v>0</v>
      </c>
      <c r="J22" s="53">
        <f>DATA!J20</f>
        <v>0</v>
      </c>
      <c r="K22" s="53">
        <f>DATA!K20</f>
        <v>0</v>
      </c>
      <c r="L22" s="53">
        <f>DATA!L20</f>
        <v>0</v>
      </c>
      <c r="M22" s="53">
        <f>DATA!M20</f>
        <v>0</v>
      </c>
      <c r="N22" s="53">
        <f>DATA!N20</f>
        <v>0</v>
      </c>
      <c r="O22" s="53">
        <f>DATA!O20</f>
        <v>0</v>
      </c>
      <c r="P22" s="53">
        <f>DATA!P20</f>
        <v>0</v>
      </c>
      <c r="Q22" s="53">
        <f>DATA!Q20</f>
        <v>0</v>
      </c>
      <c r="R22" s="53">
        <f>AVERAGE(Actual[[#This Row],[Oct-25]:[Dec-26]])</f>
        <v>2000</v>
      </c>
      <c r="S22" s="53">
        <f>SUM(Actual[[#This Row],[Oct-25]:[Dec-26]])</f>
        <v>30000</v>
      </c>
    </row>
    <row r="23" spans="1:19" ht="4.2" customHeight="1" x14ac:dyDescent="0.3">
      <c r="B23" s="10"/>
      <c r="C23" s="10"/>
      <c r="D23" s="10"/>
      <c r="E23" s="10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80"/>
      <c r="S23" s="80"/>
    </row>
    <row r="24" spans="1:19" x14ac:dyDescent="0.3">
      <c r="A24" s="11" t="s">
        <v>135</v>
      </c>
      <c r="B24" s="17" t="s">
        <v>127</v>
      </c>
      <c r="C24" s="51">
        <f>SUM(C16:C22)</f>
        <v>92131</v>
      </c>
      <c r="D24" s="51">
        <f t="shared" ref="D24:E24" si="2">SUM(D16:D22)</f>
        <v>92131</v>
      </c>
      <c r="E24" s="51">
        <f t="shared" si="2"/>
        <v>92131</v>
      </c>
      <c r="F24" s="51">
        <f>SUM(F16:F22)</f>
        <v>92131</v>
      </c>
      <c r="G24" s="51">
        <f t="shared" ref="G24:R24" si="3">SUM(G16:G22)</f>
        <v>92131</v>
      </c>
      <c r="H24" s="51">
        <f t="shared" si="3"/>
        <v>97131</v>
      </c>
      <c r="I24" s="51">
        <f t="shared" si="3"/>
        <v>0</v>
      </c>
      <c r="J24" s="51">
        <f t="shared" si="3"/>
        <v>0</v>
      </c>
      <c r="K24" s="51">
        <f t="shared" si="3"/>
        <v>0</v>
      </c>
      <c r="L24" s="51">
        <f t="shared" si="3"/>
        <v>0</v>
      </c>
      <c r="M24" s="51">
        <f t="shared" si="3"/>
        <v>0</v>
      </c>
      <c r="N24" s="51">
        <f t="shared" si="3"/>
        <v>0</v>
      </c>
      <c r="O24" s="51">
        <f t="shared" si="3"/>
        <v>0</v>
      </c>
      <c r="P24" s="51">
        <f t="shared" si="3"/>
        <v>0</v>
      </c>
      <c r="Q24" s="51">
        <f t="shared" si="3"/>
        <v>0</v>
      </c>
      <c r="R24" s="51">
        <f t="shared" si="3"/>
        <v>37185.733333333337</v>
      </c>
      <c r="S24" s="51">
        <f>SUM(Actual[[#This Row],[Oct-25]:[Dec-26]])</f>
        <v>557786</v>
      </c>
    </row>
    <row r="25" spans="1:19" x14ac:dyDescent="0.3">
      <c r="B25" s="2"/>
      <c r="C25" s="2"/>
      <c r="D25" s="2"/>
      <c r="E25" s="2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78"/>
      <c r="S25" s="78"/>
    </row>
    <row r="26" spans="1:19" x14ac:dyDescent="0.3">
      <c r="B26" s="18" t="s">
        <v>55</v>
      </c>
      <c r="C26" s="18"/>
      <c r="D26" s="18"/>
      <c r="E26" s="18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78"/>
      <c r="S26" s="78"/>
    </row>
    <row r="27" spans="1:19" ht="4.2" customHeight="1" x14ac:dyDescent="0.3">
      <c r="B27" s="20"/>
      <c r="C27" s="20"/>
      <c r="D27" s="20"/>
      <c r="E27" s="20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79"/>
      <c r="S27" s="79"/>
    </row>
    <row r="28" spans="1:19" x14ac:dyDescent="0.3">
      <c r="B28" s="27" t="s">
        <v>56</v>
      </c>
      <c r="C28" s="53">
        <f>DATA!C24</f>
        <v>5937</v>
      </c>
      <c r="D28" s="53">
        <f>DATA!D24</f>
        <v>5937</v>
      </c>
      <c r="E28" s="53">
        <f>DATA!E24</f>
        <v>5937</v>
      </c>
      <c r="F28" s="53">
        <f>DATA!F24</f>
        <v>5937</v>
      </c>
      <c r="G28" s="53">
        <f>DATA!G24</f>
        <v>5937</v>
      </c>
      <c r="H28" s="53">
        <f>DATA!H24</f>
        <v>5937</v>
      </c>
      <c r="I28" s="53">
        <f>DATA!I24</f>
        <v>0</v>
      </c>
      <c r="J28" s="53">
        <f>DATA!J24</f>
        <v>0</v>
      </c>
      <c r="K28" s="53">
        <f>DATA!K24</f>
        <v>0</v>
      </c>
      <c r="L28" s="53">
        <f>DATA!L24</f>
        <v>0</v>
      </c>
      <c r="M28" s="53">
        <f>DATA!M24</f>
        <v>0</v>
      </c>
      <c r="N28" s="53">
        <f>DATA!N24</f>
        <v>0</v>
      </c>
      <c r="O28" s="53">
        <f>DATA!O24</f>
        <v>0</v>
      </c>
      <c r="P28" s="53">
        <f>DATA!P24</f>
        <v>0</v>
      </c>
      <c r="Q28" s="53">
        <f>DATA!Q24</f>
        <v>0</v>
      </c>
      <c r="R28" s="53">
        <f ca="1">AVERAGE(Budget[[#This Row],[Oct-25]:[Dec-26]])</f>
        <v>5011.0666666666666</v>
      </c>
      <c r="S28" s="53">
        <f>SUM(Actual[[#This Row],[Oct-25]:[Dec-26]])</f>
        <v>35622</v>
      </c>
    </row>
    <row r="29" spans="1:19" x14ac:dyDescent="0.3">
      <c r="B29" s="27" t="s">
        <v>128</v>
      </c>
      <c r="C29" s="53">
        <f>DATA!C25</f>
        <v>5252</v>
      </c>
      <c r="D29" s="53">
        <f>DATA!D25</f>
        <v>5252</v>
      </c>
      <c r="E29" s="53">
        <f>DATA!E25</f>
        <v>5252</v>
      </c>
      <c r="F29" s="53">
        <f>DATA!F25</f>
        <v>5252</v>
      </c>
      <c r="G29" s="53">
        <f>DATA!G25</f>
        <v>5252</v>
      </c>
      <c r="H29" s="53">
        <f>DATA!H25</f>
        <v>5252</v>
      </c>
      <c r="I29" s="53">
        <f>DATA!I25</f>
        <v>0</v>
      </c>
      <c r="J29" s="53">
        <f>DATA!J25</f>
        <v>0</v>
      </c>
      <c r="K29" s="53">
        <f>DATA!K25</f>
        <v>0</v>
      </c>
      <c r="L29" s="53">
        <f>DATA!L25</f>
        <v>0</v>
      </c>
      <c r="M29" s="53">
        <f>DATA!M25</f>
        <v>0</v>
      </c>
      <c r="N29" s="53">
        <f>DATA!N25</f>
        <v>0</v>
      </c>
      <c r="O29" s="53">
        <f>DATA!O25</f>
        <v>0</v>
      </c>
      <c r="P29" s="53">
        <f>DATA!P25</f>
        <v>0</v>
      </c>
      <c r="Q29" s="53">
        <f>DATA!Q25</f>
        <v>0</v>
      </c>
      <c r="R29" s="53">
        <f ca="1">AVERAGE(Budget[[#This Row],[Oct-25]:[Dec-26]])</f>
        <v>4651.1333333333332</v>
      </c>
      <c r="S29" s="53">
        <f>SUM(Actual[[#This Row],[Oct-25]:[Dec-26]])</f>
        <v>31512</v>
      </c>
    </row>
    <row r="30" spans="1:19" x14ac:dyDescent="0.3">
      <c r="B30" s="27" t="s">
        <v>129</v>
      </c>
      <c r="C30" s="53">
        <f>DATA!C26</f>
        <v>2083</v>
      </c>
      <c r="D30" s="53">
        <f>DATA!D26</f>
        <v>2083</v>
      </c>
      <c r="E30" s="53">
        <f>DATA!E26</f>
        <v>2083</v>
      </c>
      <c r="F30" s="53">
        <f>DATA!F26</f>
        <v>2083</v>
      </c>
      <c r="G30" s="53">
        <f>DATA!G26</f>
        <v>2083</v>
      </c>
      <c r="H30" s="53">
        <f>DATA!H26</f>
        <v>2083</v>
      </c>
      <c r="I30" s="53">
        <f>DATA!I26</f>
        <v>0</v>
      </c>
      <c r="J30" s="53">
        <f>DATA!J26</f>
        <v>0</v>
      </c>
      <c r="K30" s="53">
        <f>DATA!K26</f>
        <v>0</v>
      </c>
      <c r="L30" s="53">
        <f>DATA!L26</f>
        <v>0</v>
      </c>
      <c r="M30" s="53">
        <f>DATA!M26</f>
        <v>0</v>
      </c>
      <c r="N30" s="53">
        <f>DATA!N26</f>
        <v>0</v>
      </c>
      <c r="O30" s="53">
        <f>DATA!O26</f>
        <v>0</v>
      </c>
      <c r="P30" s="53">
        <f>DATA!P26</f>
        <v>0</v>
      </c>
      <c r="Q30" s="53">
        <f>DATA!Q26</f>
        <v>0</v>
      </c>
      <c r="R30" s="53">
        <f ca="1">AVERAGE(Budget[[#This Row],[Oct-25]:[Dec-26]])</f>
        <v>2125.2666666666669</v>
      </c>
      <c r="S30" s="53">
        <f>SUM(Actual[[#This Row],[Oct-25]:[Dec-26]])</f>
        <v>12498</v>
      </c>
    </row>
    <row r="31" spans="1:19" x14ac:dyDescent="0.3">
      <c r="B31" s="27" t="s">
        <v>130</v>
      </c>
      <c r="C31" s="53">
        <f>DATA!C27</f>
        <v>1409</v>
      </c>
      <c r="D31" s="53">
        <f>DATA!D27</f>
        <v>1409</v>
      </c>
      <c r="E31" s="53">
        <f>DATA!E27</f>
        <v>1409</v>
      </c>
      <c r="F31" s="53">
        <f>DATA!F27</f>
        <v>1409</v>
      </c>
      <c r="G31" s="53">
        <f>DATA!G27</f>
        <v>1409</v>
      </c>
      <c r="H31" s="53">
        <f>DATA!H27</f>
        <v>1409</v>
      </c>
      <c r="I31" s="53">
        <f>DATA!I27</f>
        <v>0</v>
      </c>
      <c r="J31" s="53">
        <f>DATA!J27</f>
        <v>0</v>
      </c>
      <c r="K31" s="53">
        <f>DATA!K27</f>
        <v>0</v>
      </c>
      <c r="L31" s="53">
        <f>DATA!L27</f>
        <v>0</v>
      </c>
      <c r="M31" s="53">
        <f>DATA!M27</f>
        <v>0</v>
      </c>
      <c r="N31" s="53">
        <f>DATA!N27</f>
        <v>0</v>
      </c>
      <c r="O31" s="53">
        <f>DATA!O27</f>
        <v>0</v>
      </c>
      <c r="P31" s="53">
        <f>DATA!P27</f>
        <v>0</v>
      </c>
      <c r="Q31" s="53">
        <f>DATA!Q27</f>
        <v>0</v>
      </c>
      <c r="R31" s="53">
        <f ca="1">AVERAGE(Budget[[#This Row],[Oct-25]:[Dec-26]])</f>
        <v>1608.8666666666666</v>
      </c>
      <c r="S31" s="53">
        <f>SUM(Actual[[#This Row],[Oct-25]:[Dec-26]])</f>
        <v>8454</v>
      </c>
    </row>
    <row r="32" spans="1:19" x14ac:dyDescent="0.3">
      <c r="B32" s="27" t="s">
        <v>131</v>
      </c>
      <c r="C32" s="53">
        <f>DATA!C28</f>
        <v>1907</v>
      </c>
      <c r="D32" s="53">
        <f>DATA!D28</f>
        <v>1907</v>
      </c>
      <c r="E32" s="53">
        <f>DATA!E28</f>
        <v>1907</v>
      </c>
      <c r="F32" s="53">
        <f>DATA!F28</f>
        <v>1907</v>
      </c>
      <c r="G32" s="53">
        <f>DATA!G28</f>
        <v>1907</v>
      </c>
      <c r="H32" s="53">
        <f>DATA!H28</f>
        <v>1907</v>
      </c>
      <c r="I32" s="53">
        <f>DATA!I28</f>
        <v>0</v>
      </c>
      <c r="J32" s="53">
        <f>DATA!J28</f>
        <v>0</v>
      </c>
      <c r="K32" s="53">
        <f>DATA!K28</f>
        <v>0</v>
      </c>
      <c r="L32" s="53">
        <f>DATA!L28</f>
        <v>0</v>
      </c>
      <c r="M32" s="53">
        <f>DATA!M28</f>
        <v>0</v>
      </c>
      <c r="N32" s="53">
        <f>DATA!N28</f>
        <v>0</v>
      </c>
      <c r="O32" s="53">
        <f>DATA!O28</f>
        <v>0</v>
      </c>
      <c r="P32" s="53">
        <f>DATA!P28</f>
        <v>0</v>
      </c>
      <c r="Q32" s="53">
        <f>DATA!Q28</f>
        <v>0</v>
      </c>
      <c r="R32" s="53">
        <f ca="1">AVERAGE(Budget[[#This Row],[Oct-25]:[Dec-26]])</f>
        <v>1718.8</v>
      </c>
      <c r="S32" s="53">
        <f>SUM(Actual[[#This Row],[Oct-25]:[Dec-26]])</f>
        <v>11442</v>
      </c>
    </row>
    <row r="33" spans="1:19" ht="4.2" customHeight="1" x14ac:dyDescent="0.3">
      <c r="B33" s="10"/>
      <c r="C33" s="10"/>
      <c r="D33" s="10"/>
      <c r="E33" s="10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80"/>
      <c r="S33" s="80"/>
    </row>
    <row r="34" spans="1:19" x14ac:dyDescent="0.3">
      <c r="A34" s="11" t="s">
        <v>136</v>
      </c>
      <c r="B34" s="17" t="s">
        <v>132</v>
      </c>
      <c r="C34" s="51">
        <f>SUM(C28:C32)</f>
        <v>16588</v>
      </c>
      <c r="D34" s="51">
        <f t="shared" ref="D34:E34" si="4">SUM(D28:D32)</f>
        <v>16588</v>
      </c>
      <c r="E34" s="51">
        <f t="shared" si="4"/>
        <v>16588</v>
      </c>
      <c r="F34" s="51">
        <f>SUM(F28:F32)</f>
        <v>16588</v>
      </c>
      <c r="G34" s="51">
        <f t="shared" ref="G34:R34" si="5">SUM(G28:G32)</f>
        <v>16588</v>
      </c>
      <c r="H34" s="51">
        <f t="shared" si="5"/>
        <v>16588</v>
      </c>
      <c r="I34" s="51">
        <f t="shared" si="5"/>
        <v>0</v>
      </c>
      <c r="J34" s="51">
        <f t="shared" si="5"/>
        <v>0</v>
      </c>
      <c r="K34" s="51">
        <f t="shared" si="5"/>
        <v>0</v>
      </c>
      <c r="L34" s="51">
        <f t="shared" si="5"/>
        <v>0</v>
      </c>
      <c r="M34" s="51">
        <f t="shared" si="5"/>
        <v>0</v>
      </c>
      <c r="N34" s="51">
        <f t="shared" si="5"/>
        <v>0</v>
      </c>
      <c r="O34" s="51">
        <f t="shared" si="5"/>
        <v>0</v>
      </c>
      <c r="P34" s="51">
        <f t="shared" si="5"/>
        <v>0</v>
      </c>
      <c r="Q34" s="51">
        <f t="shared" si="5"/>
        <v>0</v>
      </c>
      <c r="R34" s="51">
        <f t="shared" ca="1" si="5"/>
        <v>15115.133333333333</v>
      </c>
      <c r="S34" s="51">
        <f>SUM(Actual[[#This Row],[Oct-25]:[Dec-26]])</f>
        <v>99528</v>
      </c>
    </row>
    <row r="35" spans="1:19" ht="9" customHeight="1" thickBot="1" x14ac:dyDescent="0.35">
      <c r="B35" s="1"/>
      <c r="C35" s="1"/>
      <c r="D35" s="1"/>
      <c r="E35" s="1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78"/>
      <c r="S35" s="78"/>
    </row>
    <row r="36" spans="1:19" ht="16.2" thickBot="1" x14ac:dyDescent="0.35">
      <c r="A36" s="11" t="s">
        <v>137</v>
      </c>
      <c r="B36" s="16" t="s">
        <v>142</v>
      </c>
      <c r="C36" s="52">
        <f>C24+C34</f>
        <v>108719</v>
      </c>
      <c r="D36" s="52">
        <f t="shared" ref="D36:R36" si="6">D24+D34</f>
        <v>108719</v>
      </c>
      <c r="E36" s="52">
        <f t="shared" si="6"/>
        <v>108719</v>
      </c>
      <c r="F36" s="52">
        <f t="shared" si="6"/>
        <v>108719</v>
      </c>
      <c r="G36" s="52">
        <f t="shared" si="6"/>
        <v>108719</v>
      </c>
      <c r="H36" s="52">
        <f t="shared" si="6"/>
        <v>113719</v>
      </c>
      <c r="I36" s="52">
        <f t="shared" si="6"/>
        <v>0</v>
      </c>
      <c r="J36" s="52">
        <f t="shared" si="6"/>
        <v>0</v>
      </c>
      <c r="K36" s="52">
        <f t="shared" si="6"/>
        <v>0</v>
      </c>
      <c r="L36" s="52">
        <f t="shared" si="6"/>
        <v>0</v>
      </c>
      <c r="M36" s="52">
        <f t="shared" si="6"/>
        <v>0</v>
      </c>
      <c r="N36" s="52">
        <f t="shared" si="6"/>
        <v>0</v>
      </c>
      <c r="O36" s="52">
        <f t="shared" si="6"/>
        <v>0</v>
      </c>
      <c r="P36" s="52">
        <f t="shared" si="6"/>
        <v>0</v>
      </c>
      <c r="Q36" s="52">
        <f t="shared" si="6"/>
        <v>0</v>
      </c>
      <c r="R36" s="52">
        <f t="shared" ca="1" si="6"/>
        <v>52300.866666666669</v>
      </c>
      <c r="S36" s="52">
        <f>SUM(Actual[[#This Row],[Oct-25]:[Dec-26]])</f>
        <v>657314</v>
      </c>
    </row>
    <row r="37" spans="1:19" ht="9" customHeight="1" thickBot="1" x14ac:dyDescent="0.35">
      <c r="B37" s="1"/>
      <c r="C37" s="1"/>
      <c r="D37" s="1"/>
      <c r="E37" s="1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78"/>
      <c r="S37" s="78"/>
    </row>
    <row r="38" spans="1:19" ht="16.2" thickBot="1" x14ac:dyDescent="0.35">
      <c r="A38" s="11" t="s">
        <v>138</v>
      </c>
      <c r="B38" s="16" t="s">
        <v>141</v>
      </c>
      <c r="C38" s="54">
        <f>C12-C36</f>
        <v>71716</v>
      </c>
      <c r="D38" s="54">
        <f t="shared" ref="D38:R38" si="7">D12-D36</f>
        <v>54716</v>
      </c>
      <c r="E38" s="54">
        <f t="shared" si="7"/>
        <v>54716</v>
      </c>
      <c r="F38" s="54">
        <f t="shared" si="7"/>
        <v>59716</v>
      </c>
      <c r="G38" s="54">
        <f t="shared" si="7"/>
        <v>54716</v>
      </c>
      <c r="H38" s="54">
        <f t="shared" si="7"/>
        <v>54716</v>
      </c>
      <c r="I38" s="54">
        <f t="shared" si="7"/>
        <v>0</v>
      </c>
      <c r="J38" s="54">
        <f t="shared" si="7"/>
        <v>0</v>
      </c>
      <c r="K38" s="54">
        <f t="shared" si="7"/>
        <v>0</v>
      </c>
      <c r="L38" s="54">
        <f t="shared" si="7"/>
        <v>0</v>
      </c>
      <c r="M38" s="54">
        <f t="shared" si="7"/>
        <v>0</v>
      </c>
      <c r="N38" s="54">
        <f t="shared" si="7"/>
        <v>0</v>
      </c>
      <c r="O38" s="54">
        <f t="shared" si="7"/>
        <v>0</v>
      </c>
      <c r="P38" s="54">
        <f t="shared" si="7"/>
        <v>0</v>
      </c>
      <c r="Q38" s="54">
        <f t="shared" si="7"/>
        <v>0</v>
      </c>
      <c r="R38" s="54">
        <f t="shared" ca="1" si="7"/>
        <v>14873.133333333331</v>
      </c>
      <c r="S38" s="54">
        <f>SUM(Actual[[#This Row],[Oct-25]:[Dec-26]])</f>
        <v>350296</v>
      </c>
    </row>
    <row r="39" spans="1:19" x14ac:dyDescent="0.3">
      <c r="B39" s="2"/>
      <c r="C39" s="2"/>
      <c r="D39" s="2"/>
      <c r="E39" s="2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78"/>
      <c r="S39" s="78"/>
    </row>
    <row r="40" spans="1:19" x14ac:dyDescent="0.3">
      <c r="B40" s="18" t="s">
        <v>74</v>
      </c>
      <c r="C40" s="18"/>
      <c r="D40" s="18"/>
      <c r="E40" s="18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78"/>
      <c r="S40" s="78"/>
    </row>
    <row r="41" spans="1:19" ht="4.8" customHeight="1" x14ac:dyDescent="0.3">
      <c r="B41" s="20"/>
      <c r="C41" s="20"/>
      <c r="D41" s="20"/>
      <c r="E41" s="20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79"/>
      <c r="S41" s="79"/>
    </row>
    <row r="42" spans="1:19" x14ac:dyDescent="0.3">
      <c r="B42" s="27" t="s">
        <v>75</v>
      </c>
      <c r="C42" s="53">
        <f>DATA!C36</f>
        <v>10000</v>
      </c>
      <c r="D42" s="53">
        <f>DATA!D36</f>
        <v>10000</v>
      </c>
      <c r="E42" s="53">
        <f>DATA!E36</f>
        <v>10000</v>
      </c>
      <c r="F42" s="53">
        <f>DATA!F36</f>
        <v>10000</v>
      </c>
      <c r="G42" s="53">
        <f>DATA!G36</f>
        <v>10000</v>
      </c>
      <c r="H42" s="53">
        <f>DATA!H36</f>
        <v>10000</v>
      </c>
      <c r="I42" s="53">
        <f>DATA!I36</f>
        <v>0</v>
      </c>
      <c r="J42" s="53">
        <f>DATA!J36</f>
        <v>0</v>
      </c>
      <c r="K42" s="53">
        <f>DATA!K36</f>
        <v>0</v>
      </c>
      <c r="L42" s="53">
        <f>DATA!L36</f>
        <v>0</v>
      </c>
      <c r="M42" s="53">
        <f>DATA!M36</f>
        <v>0</v>
      </c>
      <c r="N42" s="53">
        <f>DATA!N36</f>
        <v>0</v>
      </c>
      <c r="O42" s="53">
        <f>DATA!O36</f>
        <v>0</v>
      </c>
      <c r="P42" s="53">
        <f>DATA!P36</f>
        <v>0</v>
      </c>
      <c r="Q42" s="53">
        <f>DATA!Q36</f>
        <v>0</v>
      </c>
      <c r="R42" s="53">
        <f>AVERAGE(Budget[[#This Row],[Oct-25]:[Dec-26]])</f>
        <v>16600</v>
      </c>
      <c r="S42" s="53">
        <f>SUM(Actual[[#This Row],[Oct-25]:[Dec-26]])</f>
        <v>60000</v>
      </c>
    </row>
    <row r="43" spans="1:19" x14ac:dyDescent="0.3">
      <c r="B43" s="27" t="s">
        <v>76</v>
      </c>
      <c r="C43" s="53">
        <f>DATA!C37</f>
        <v>3000</v>
      </c>
      <c r="D43" s="53">
        <f>DATA!D37</f>
        <v>3000</v>
      </c>
      <c r="E43" s="53">
        <f>DATA!E37</f>
        <v>3000</v>
      </c>
      <c r="F43" s="53">
        <f>DATA!F37</f>
        <v>3000</v>
      </c>
      <c r="G43" s="53">
        <f>DATA!G37</f>
        <v>3000</v>
      </c>
      <c r="H43" s="53">
        <f>DATA!H37</f>
        <v>3000</v>
      </c>
      <c r="I43" s="53">
        <f>DATA!I37</f>
        <v>0</v>
      </c>
      <c r="J43" s="53">
        <f>DATA!J37</f>
        <v>0</v>
      </c>
      <c r="K43" s="53">
        <f>DATA!K37</f>
        <v>0</v>
      </c>
      <c r="L43" s="53">
        <f>DATA!L37</f>
        <v>0</v>
      </c>
      <c r="M43" s="53">
        <f>DATA!M37</f>
        <v>0</v>
      </c>
      <c r="N43" s="53">
        <f>DATA!N37</f>
        <v>0</v>
      </c>
      <c r="O43" s="53">
        <f>DATA!O37</f>
        <v>0</v>
      </c>
      <c r="P43" s="53">
        <f>DATA!P37</f>
        <v>0</v>
      </c>
      <c r="Q43" s="53">
        <f>DATA!Q37</f>
        <v>0</v>
      </c>
      <c r="R43" s="53">
        <f>AVERAGE(Budget[[#This Row],[Oct-25]:[Dec-26]])</f>
        <v>3000</v>
      </c>
      <c r="S43" s="53">
        <f>SUM(Actual[[#This Row],[Oct-25]:[Dec-26]])</f>
        <v>18000</v>
      </c>
    </row>
    <row r="44" spans="1:19" x14ac:dyDescent="0.3">
      <c r="B44" s="27" t="s">
        <v>78</v>
      </c>
      <c r="C44" s="53">
        <f>DATA!C38</f>
        <v>0</v>
      </c>
      <c r="D44" s="53">
        <f>DATA!D38</f>
        <v>0</v>
      </c>
      <c r="E44" s="53">
        <f>DATA!E38</f>
        <v>0</v>
      </c>
      <c r="F44" s="53">
        <f>DATA!F38</f>
        <v>0</v>
      </c>
      <c r="G44" s="53">
        <f>DATA!G38</f>
        <v>0</v>
      </c>
      <c r="H44" s="53">
        <f>DATA!H38</f>
        <v>0</v>
      </c>
      <c r="I44" s="53">
        <f>DATA!I38</f>
        <v>0</v>
      </c>
      <c r="J44" s="53">
        <f>DATA!J38</f>
        <v>0</v>
      </c>
      <c r="K44" s="53">
        <f>DATA!K38</f>
        <v>0</v>
      </c>
      <c r="L44" s="53">
        <f>DATA!L38</f>
        <v>0</v>
      </c>
      <c r="M44" s="53">
        <f>DATA!M38</f>
        <v>0</v>
      </c>
      <c r="N44" s="53">
        <f>DATA!N38</f>
        <v>0</v>
      </c>
      <c r="O44" s="53">
        <f>DATA!O38</f>
        <v>0</v>
      </c>
      <c r="P44" s="53">
        <f>DATA!P38</f>
        <v>0</v>
      </c>
      <c r="Q44" s="53">
        <f>DATA!Q38</f>
        <v>0</v>
      </c>
      <c r="R44" s="53">
        <f>AVERAGE(Budget[[#This Row],[Oct-25]:[Dec-26]])</f>
        <v>0</v>
      </c>
      <c r="S44" s="53">
        <f>SUM(Actual[[#This Row],[Oct-25]:[Dec-26]])</f>
        <v>0</v>
      </c>
    </row>
    <row r="45" spans="1:19" x14ac:dyDescent="0.3">
      <c r="B45" s="27" t="s">
        <v>80</v>
      </c>
      <c r="C45" s="53">
        <f>DATA!C39</f>
        <v>10000</v>
      </c>
      <c r="D45" s="53">
        <f>DATA!D39</f>
        <v>10000</v>
      </c>
      <c r="E45" s="53">
        <f>DATA!E39</f>
        <v>10000</v>
      </c>
      <c r="F45" s="53">
        <f>DATA!F39</f>
        <v>10000</v>
      </c>
      <c r="G45" s="53">
        <f>DATA!G39</f>
        <v>10000</v>
      </c>
      <c r="H45" s="53">
        <f>DATA!H39</f>
        <v>10000</v>
      </c>
      <c r="I45" s="53">
        <f>DATA!I39</f>
        <v>0</v>
      </c>
      <c r="J45" s="53">
        <f>DATA!J39</f>
        <v>0</v>
      </c>
      <c r="K45" s="53">
        <f>DATA!K39</f>
        <v>0</v>
      </c>
      <c r="L45" s="53">
        <f>DATA!L39</f>
        <v>0</v>
      </c>
      <c r="M45" s="53">
        <f>DATA!M39</f>
        <v>0</v>
      </c>
      <c r="N45" s="53">
        <f>DATA!N39</f>
        <v>0</v>
      </c>
      <c r="O45" s="53">
        <f>DATA!O39</f>
        <v>0</v>
      </c>
      <c r="P45" s="53">
        <f>DATA!P39</f>
        <v>0</v>
      </c>
      <c r="Q45" s="53">
        <f>DATA!Q39</f>
        <v>0</v>
      </c>
      <c r="R45" s="53">
        <f>AVERAGE(Budget[[#This Row],[Oct-25]:[Dec-26]])</f>
        <v>10000</v>
      </c>
      <c r="S45" s="53">
        <f>SUM(Actual[[#This Row],[Oct-25]:[Dec-26]])</f>
        <v>60000</v>
      </c>
    </row>
    <row r="46" spans="1:19" x14ac:dyDescent="0.3">
      <c r="B46" s="27" t="s">
        <v>82</v>
      </c>
      <c r="C46" s="53">
        <f>DATA!C40</f>
        <v>0</v>
      </c>
      <c r="D46" s="53">
        <f>DATA!D40</f>
        <v>15000</v>
      </c>
      <c r="E46" s="53">
        <f>DATA!E40</f>
        <v>25000</v>
      </c>
      <c r="F46" s="53">
        <f>DATA!F40</f>
        <v>25000</v>
      </c>
      <c r="G46" s="53">
        <f>DATA!G40</f>
        <v>25000</v>
      </c>
      <c r="H46" s="53">
        <f>DATA!H40</f>
        <v>25000</v>
      </c>
      <c r="I46" s="53">
        <f>DATA!I40</f>
        <v>0</v>
      </c>
      <c r="J46" s="53">
        <f>DATA!J40</f>
        <v>0</v>
      </c>
      <c r="K46" s="53">
        <f>DATA!K40</f>
        <v>0</v>
      </c>
      <c r="L46" s="53">
        <f>DATA!L40</f>
        <v>0</v>
      </c>
      <c r="M46" s="53">
        <f>DATA!M40</f>
        <v>0</v>
      </c>
      <c r="N46" s="53">
        <f>DATA!N40</f>
        <v>0</v>
      </c>
      <c r="O46" s="53">
        <f>DATA!O40</f>
        <v>0</v>
      </c>
      <c r="P46" s="53">
        <f>DATA!P40</f>
        <v>0</v>
      </c>
      <c r="Q46" s="53">
        <f>DATA!Q40</f>
        <v>0</v>
      </c>
      <c r="R46" s="53">
        <f>AVERAGE(Budget[[#This Row],[Oct-25]:[Dec-26]])</f>
        <v>25000</v>
      </c>
      <c r="S46" s="53">
        <f>SUM(Actual[[#This Row],[Oct-25]:[Dec-26]])</f>
        <v>115000</v>
      </c>
    </row>
    <row r="47" spans="1:19" x14ac:dyDescent="0.3">
      <c r="B47" s="27" t="s">
        <v>83</v>
      </c>
      <c r="C47" s="53">
        <f>DATA!C41</f>
        <v>0</v>
      </c>
      <c r="D47" s="53">
        <f>DATA!D41</f>
        <v>0</v>
      </c>
      <c r="E47" s="53">
        <f>DATA!E41</f>
        <v>0</v>
      </c>
      <c r="F47" s="53">
        <f>DATA!F41</f>
        <v>0</v>
      </c>
      <c r="G47" s="53">
        <f>DATA!G41</f>
        <v>0</v>
      </c>
      <c r="H47" s="53">
        <f>DATA!H41</f>
        <v>0</v>
      </c>
      <c r="I47" s="53">
        <f>DATA!I41</f>
        <v>0</v>
      </c>
      <c r="J47" s="53">
        <f>DATA!J41</f>
        <v>0</v>
      </c>
      <c r="K47" s="53">
        <f>DATA!K41</f>
        <v>0</v>
      </c>
      <c r="L47" s="53">
        <f>DATA!L41</f>
        <v>0</v>
      </c>
      <c r="M47" s="53">
        <f>DATA!M41</f>
        <v>0</v>
      </c>
      <c r="N47" s="53">
        <f>DATA!N41</f>
        <v>0</v>
      </c>
      <c r="O47" s="53">
        <f>DATA!O41</f>
        <v>0</v>
      </c>
      <c r="P47" s="53">
        <f>DATA!P41</f>
        <v>0</v>
      </c>
      <c r="Q47" s="53">
        <f>DATA!Q41</f>
        <v>0</v>
      </c>
      <c r="R47" s="53">
        <f>AVERAGE(Budget[[#This Row],[Oct-25]:[Dec-26]])</f>
        <v>0</v>
      </c>
      <c r="S47" s="53">
        <f>SUM(Actual[[#This Row],[Oct-25]:[Dec-26]])</f>
        <v>0</v>
      </c>
    </row>
    <row r="48" spans="1:19" x14ac:dyDescent="0.3">
      <c r="B48" s="27" t="s">
        <v>84</v>
      </c>
      <c r="C48" s="53">
        <f>DATA!C42</f>
        <v>5000</v>
      </c>
      <c r="D48" s="53">
        <f>DATA!D42</f>
        <v>5000</v>
      </c>
      <c r="E48" s="53">
        <f>DATA!E42</f>
        <v>5000</v>
      </c>
      <c r="F48" s="53">
        <f>DATA!F42</f>
        <v>5000</v>
      </c>
      <c r="G48" s="53">
        <f>DATA!G42</f>
        <v>5000</v>
      </c>
      <c r="H48" s="53">
        <f>DATA!H42</f>
        <v>5000</v>
      </c>
      <c r="I48" s="53">
        <f>DATA!I42</f>
        <v>0</v>
      </c>
      <c r="J48" s="53">
        <f>DATA!J42</f>
        <v>0</v>
      </c>
      <c r="K48" s="53">
        <f>DATA!K42</f>
        <v>0</v>
      </c>
      <c r="L48" s="53">
        <f>DATA!L42</f>
        <v>0</v>
      </c>
      <c r="M48" s="53">
        <f>DATA!M42</f>
        <v>0</v>
      </c>
      <c r="N48" s="53">
        <f>DATA!N42</f>
        <v>0</v>
      </c>
      <c r="O48" s="53">
        <f>DATA!O42</f>
        <v>0</v>
      </c>
      <c r="P48" s="53">
        <f>DATA!P42</f>
        <v>0</v>
      </c>
      <c r="Q48" s="53">
        <f>DATA!Q42</f>
        <v>0</v>
      </c>
      <c r="R48" s="53">
        <f>AVERAGE(Budget[[#This Row],[Oct-25]:[Dec-26]])</f>
        <v>5000</v>
      </c>
      <c r="S48" s="53">
        <f>SUM(Actual[[#This Row],[Oct-25]:[Dec-26]])</f>
        <v>30000</v>
      </c>
    </row>
    <row r="49" spans="1:19" x14ac:dyDescent="0.3">
      <c r="B49" s="27" t="s">
        <v>87</v>
      </c>
      <c r="C49" s="53">
        <f>DATA!C43</f>
        <v>1000</v>
      </c>
      <c r="D49" s="53">
        <f>DATA!D43</f>
        <v>0</v>
      </c>
      <c r="E49" s="53">
        <f>DATA!E43</f>
        <v>0</v>
      </c>
      <c r="F49" s="53">
        <f>DATA!F43</f>
        <v>0</v>
      </c>
      <c r="G49" s="53">
        <f>DATA!G43</f>
        <v>0</v>
      </c>
      <c r="H49" s="53">
        <f>DATA!H43</f>
        <v>0</v>
      </c>
      <c r="I49" s="53">
        <f>DATA!I43</f>
        <v>0</v>
      </c>
      <c r="J49" s="53">
        <f>DATA!J43</f>
        <v>0</v>
      </c>
      <c r="K49" s="53">
        <f>DATA!K43</f>
        <v>0</v>
      </c>
      <c r="L49" s="53">
        <f>DATA!L43</f>
        <v>0</v>
      </c>
      <c r="M49" s="53">
        <f>DATA!M43</f>
        <v>0</v>
      </c>
      <c r="N49" s="53">
        <f>DATA!N43</f>
        <v>0</v>
      </c>
      <c r="O49" s="53">
        <f>DATA!O43</f>
        <v>0</v>
      </c>
      <c r="P49" s="53">
        <f>DATA!P43</f>
        <v>0</v>
      </c>
      <c r="Q49" s="53">
        <f>DATA!Q43</f>
        <v>0</v>
      </c>
      <c r="R49" s="53">
        <f>AVERAGE(Budget[[#This Row],[Oct-25]:[Dec-26]])</f>
        <v>0</v>
      </c>
      <c r="S49" s="53">
        <f>SUM(Actual[[#This Row],[Oct-25]:[Dec-26]])</f>
        <v>1000</v>
      </c>
    </row>
    <row r="50" spans="1:19" x14ac:dyDescent="0.3">
      <c r="B50" s="27" t="s">
        <v>92</v>
      </c>
      <c r="C50" s="53">
        <f>DATA!C44</f>
        <v>0</v>
      </c>
      <c r="D50" s="53">
        <f>DATA!D44</f>
        <v>0</v>
      </c>
      <c r="E50" s="53">
        <f>DATA!E44</f>
        <v>0</v>
      </c>
      <c r="F50" s="53">
        <f>DATA!F44</f>
        <v>0</v>
      </c>
      <c r="G50" s="53">
        <f>DATA!G44</f>
        <v>0</v>
      </c>
      <c r="H50" s="53">
        <f>DATA!H44</f>
        <v>0</v>
      </c>
      <c r="I50" s="53">
        <f>DATA!I44</f>
        <v>0</v>
      </c>
      <c r="J50" s="53">
        <f>DATA!J44</f>
        <v>0</v>
      </c>
      <c r="K50" s="53">
        <f>DATA!K44</f>
        <v>0</v>
      </c>
      <c r="L50" s="53">
        <f>DATA!L44</f>
        <v>0</v>
      </c>
      <c r="M50" s="53">
        <f>DATA!M44</f>
        <v>0</v>
      </c>
      <c r="N50" s="53">
        <f>DATA!N44</f>
        <v>0</v>
      </c>
      <c r="O50" s="53">
        <f>DATA!O44</f>
        <v>0</v>
      </c>
      <c r="P50" s="53">
        <f>DATA!P44</f>
        <v>0</v>
      </c>
      <c r="Q50" s="53">
        <f>DATA!Q44</f>
        <v>0</v>
      </c>
      <c r="R50" s="53">
        <f>AVERAGE(Budget[[#This Row],[Oct-25]:[Dec-26]])</f>
        <v>0</v>
      </c>
      <c r="S50" s="53">
        <f>SUM(Actual[[#This Row],[Oct-25]:[Dec-26]])</f>
        <v>0</v>
      </c>
    </row>
    <row r="51" spans="1:19" ht="4.2" customHeight="1" thickBot="1" x14ac:dyDescent="0.35">
      <c r="B51" s="10"/>
      <c r="C51" s="10"/>
      <c r="D51" s="10"/>
      <c r="E51" s="10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80"/>
      <c r="S51" s="80">
        <f>SUM(Actual[[#This Row],[Oct-25]:[Dec-26]])</f>
        <v>0</v>
      </c>
    </row>
    <row r="52" spans="1:19" ht="16.2" thickBot="1" x14ac:dyDescent="0.35">
      <c r="A52" s="11" t="s">
        <v>139</v>
      </c>
      <c r="B52" s="22" t="s">
        <v>133</v>
      </c>
      <c r="C52" s="57">
        <f>SUM(C42:C50)</f>
        <v>29000</v>
      </c>
      <c r="D52" s="57">
        <f t="shared" ref="D52:R52" si="8">SUM(D42:D50)</f>
        <v>43000</v>
      </c>
      <c r="E52" s="57">
        <f t="shared" si="8"/>
        <v>53000</v>
      </c>
      <c r="F52" s="57">
        <f t="shared" si="8"/>
        <v>53000</v>
      </c>
      <c r="G52" s="57">
        <f t="shared" si="8"/>
        <v>53000</v>
      </c>
      <c r="H52" s="57">
        <f t="shared" si="8"/>
        <v>53000</v>
      </c>
      <c r="I52" s="57">
        <f t="shared" si="8"/>
        <v>0</v>
      </c>
      <c r="J52" s="57">
        <f t="shared" si="8"/>
        <v>0</v>
      </c>
      <c r="K52" s="57">
        <f t="shared" si="8"/>
        <v>0</v>
      </c>
      <c r="L52" s="57">
        <f t="shared" si="8"/>
        <v>0</v>
      </c>
      <c r="M52" s="57">
        <f t="shared" si="8"/>
        <v>0</v>
      </c>
      <c r="N52" s="57">
        <f t="shared" si="8"/>
        <v>0</v>
      </c>
      <c r="O52" s="57">
        <f t="shared" si="8"/>
        <v>0</v>
      </c>
      <c r="P52" s="57">
        <f t="shared" si="8"/>
        <v>0</v>
      </c>
      <c r="Q52" s="57">
        <f t="shared" si="8"/>
        <v>0</v>
      </c>
      <c r="R52" s="57">
        <f t="shared" si="8"/>
        <v>59600</v>
      </c>
      <c r="S52" s="57">
        <f>SUM(Actual[[#This Row],[Oct-25]:[Dec-26]])</f>
        <v>284000</v>
      </c>
    </row>
    <row r="53" spans="1:19" ht="4.8" customHeight="1" thickBot="1" x14ac:dyDescent="0.35">
      <c r="B53" s="10"/>
      <c r="C53" s="55"/>
      <c r="D53" s="55"/>
      <c r="E53" s="55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78"/>
      <c r="S53" s="78">
        <f>SUM(Actual[[#This Row],[Oct-25]:[Dec-26]])</f>
        <v>0</v>
      </c>
    </row>
    <row r="54" spans="1:19" ht="16.2" thickBot="1" x14ac:dyDescent="0.35">
      <c r="A54" s="11" t="s">
        <v>138</v>
      </c>
      <c r="B54" s="56" t="s">
        <v>157</v>
      </c>
      <c r="C54" s="57">
        <f>C38-C52</f>
        <v>42716</v>
      </c>
      <c r="D54" s="57">
        <f t="shared" ref="D54:R54" si="9">D38-D52</f>
        <v>11716</v>
      </c>
      <c r="E54" s="57">
        <f t="shared" si="9"/>
        <v>1716</v>
      </c>
      <c r="F54" s="57">
        <f t="shared" si="9"/>
        <v>6716</v>
      </c>
      <c r="G54" s="57">
        <f t="shared" si="9"/>
        <v>1716</v>
      </c>
      <c r="H54" s="57">
        <f t="shared" si="9"/>
        <v>1716</v>
      </c>
      <c r="I54" s="57">
        <f t="shared" si="9"/>
        <v>0</v>
      </c>
      <c r="J54" s="57">
        <f t="shared" si="9"/>
        <v>0</v>
      </c>
      <c r="K54" s="57">
        <f t="shared" si="9"/>
        <v>0</v>
      </c>
      <c r="L54" s="57">
        <f t="shared" si="9"/>
        <v>0</v>
      </c>
      <c r="M54" s="57">
        <f t="shared" si="9"/>
        <v>0</v>
      </c>
      <c r="N54" s="57">
        <f t="shared" si="9"/>
        <v>0</v>
      </c>
      <c r="O54" s="57">
        <f t="shared" si="9"/>
        <v>0</v>
      </c>
      <c r="P54" s="57">
        <f t="shared" si="9"/>
        <v>0</v>
      </c>
      <c r="Q54" s="57">
        <f t="shared" si="9"/>
        <v>0</v>
      </c>
      <c r="R54" s="57">
        <f t="shared" ca="1" si="9"/>
        <v>-44726.866666666669</v>
      </c>
      <c r="S54" s="57">
        <f>SUM(Actual[[#This Row],[Oct-25]:[Dec-26]])</f>
        <v>66296</v>
      </c>
    </row>
  </sheetData>
  <mergeCells count="1">
    <mergeCell ref="B2:S2"/>
  </mergeCells>
  <printOptions horizontalCentered="1" verticalCentered="1"/>
  <pageMargins left="0.39370078740157483" right="0.39370078740157483" top="0.39370078740157483" bottom="0.39370078740157483" header="0.39370078740157483" footer="0.39370078740157483"/>
  <pageSetup paperSize="9" scale="57" fitToHeight="0" orientation="landscape" r:id="rId1"/>
  <ignoredErrors>
    <ignoredError sqref="C16:Q22 C24 C12 C28:Q32 C34 C36 C38 C42:C50 C52 C54 R6:R54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833C7-4A07-4C05-9745-FC693174DA4E}">
  <sheetPr codeName="Sheet8">
    <pageSetUpPr fitToPage="1"/>
  </sheetPr>
  <dimension ref="B2:R18"/>
  <sheetViews>
    <sheetView showGridLines="0" view="pageBreakPreview" zoomScale="60" zoomScaleNormal="100" workbookViewId="0">
      <selection activeCell="L27" sqref="L27"/>
    </sheetView>
  </sheetViews>
  <sheetFormatPr defaultRowHeight="14.4" x14ac:dyDescent="0.3"/>
  <cols>
    <col min="1" max="1" width="2.33203125" customWidth="1"/>
    <col min="2" max="2" width="24.88671875" bestFit="1" customWidth="1"/>
    <col min="3" max="8" width="10.109375" bestFit="1" customWidth="1"/>
    <col min="9" max="9" width="11.77734375" bestFit="1" customWidth="1"/>
    <col min="10" max="10" width="7.88671875" bestFit="1" customWidth="1"/>
    <col min="11" max="11" width="7.109375" bestFit="1" customWidth="1"/>
    <col min="12" max="12" width="6.44140625" bestFit="1" customWidth="1"/>
    <col min="13" max="13" width="7.44140625" bestFit="1" customWidth="1"/>
    <col min="14" max="14" width="7.21875" bestFit="1" customWidth="1"/>
    <col min="15" max="15" width="7.109375" bestFit="1" customWidth="1"/>
    <col min="16" max="16" width="7.5546875" bestFit="1" customWidth="1"/>
    <col min="17" max="17" width="7.33203125" bestFit="1" customWidth="1"/>
    <col min="18" max="18" width="17.88671875" bestFit="1" customWidth="1"/>
  </cols>
  <sheetData>
    <row r="2" spans="2:18" ht="21" x14ac:dyDescent="0.3">
      <c r="B2" s="109" t="s">
        <v>213</v>
      </c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</row>
    <row r="3" spans="2:18" ht="3.6" customHeight="1" x14ac:dyDescent="0.3">
      <c r="B3" s="81"/>
    </row>
    <row r="4" spans="2:18" ht="15.6" x14ac:dyDescent="0.3">
      <c r="B4" s="18" t="s">
        <v>215</v>
      </c>
      <c r="C4" s="41" t="str">
        <f>Actual[[#Headers],[Oct-25]]</f>
        <v>Oct-25</v>
      </c>
      <c r="D4" s="41" t="str">
        <f>Actual[[#Headers],[Nov-25]]</f>
        <v>Nov-25</v>
      </c>
      <c r="E4" s="41" t="str">
        <f>Actual[[#Headers],[Dec-25]]</f>
        <v>Dec-25</v>
      </c>
      <c r="F4" s="41" t="str">
        <f>Actual[[#Headers],[Jan-26]]</f>
        <v>Jan-26</v>
      </c>
      <c r="G4" s="41" t="str">
        <f>Actual[[#Headers],[Feb-26]]</f>
        <v>Feb-26</v>
      </c>
      <c r="H4" s="41" t="str">
        <f>Actual[[#Headers],[Mar-26]]</f>
        <v>Mar-26</v>
      </c>
      <c r="I4" s="41" t="str">
        <f>Actual[[#Headers],[Apr-26]]</f>
        <v>Apr-26</v>
      </c>
      <c r="J4" s="41" t="str">
        <f>Actual[[#Headers],[May-26]]</f>
        <v>May-26</v>
      </c>
      <c r="K4" s="41" t="str">
        <f>Actual[[#Headers],[Jun-26]]</f>
        <v>Jun-26</v>
      </c>
      <c r="L4" s="41" t="str">
        <f>Actual[[#Headers],[Jul-26]]</f>
        <v>Jul-26</v>
      </c>
      <c r="M4" s="41" t="str">
        <f>Actual[[#Headers],[Aug-26]]</f>
        <v>Aug-26</v>
      </c>
      <c r="N4" s="41" t="str">
        <f>Actual[[#Headers],[Sep-26]]</f>
        <v>Sep-26</v>
      </c>
      <c r="O4" s="41" t="str">
        <f>Actual[[#Headers],[Oct-26]]</f>
        <v>Oct-26</v>
      </c>
      <c r="P4" s="41" t="str">
        <f>Actual[[#Headers],[Nov-26]]</f>
        <v>Nov-26</v>
      </c>
      <c r="Q4" s="41" t="str">
        <f>Actual[[#Headers],[Dec-26]]</f>
        <v>Dec-26</v>
      </c>
      <c r="R4" s="41" t="s">
        <v>214</v>
      </c>
    </row>
    <row r="5" spans="2:18" ht="4.2" customHeight="1" x14ac:dyDescent="0.3">
      <c r="B5" s="20">
        <f>Actual!B41</f>
        <v>0</v>
      </c>
    </row>
    <row r="6" spans="2:18" ht="15.6" x14ac:dyDescent="0.3">
      <c r="B6" s="27" t="str">
        <f>Actual!B42</f>
        <v>SIPs</v>
      </c>
      <c r="C6" s="53">
        <f>Actual!C42</f>
        <v>10000</v>
      </c>
      <c r="D6" s="53">
        <f>Actual!D42</f>
        <v>10000</v>
      </c>
      <c r="E6" s="53">
        <f>Actual!E42</f>
        <v>10000</v>
      </c>
      <c r="F6" s="53">
        <f>Actual!F42</f>
        <v>10000</v>
      </c>
      <c r="G6" s="53">
        <f>Actual!G42</f>
        <v>10000</v>
      </c>
      <c r="H6" s="53">
        <f>Actual!H42</f>
        <v>10000</v>
      </c>
      <c r="I6" s="53">
        <f>Actual!I42</f>
        <v>0</v>
      </c>
      <c r="J6" s="53">
        <f>Actual!J42</f>
        <v>0</v>
      </c>
      <c r="K6" s="53">
        <f>Actual!K42</f>
        <v>0</v>
      </c>
      <c r="L6" s="53">
        <f>Actual!L42</f>
        <v>0</v>
      </c>
      <c r="M6" s="53">
        <f>Actual!M42</f>
        <v>0</v>
      </c>
      <c r="N6" s="53">
        <f>Actual!N42</f>
        <v>0</v>
      </c>
      <c r="O6" s="53">
        <f>Actual!O42</f>
        <v>0</v>
      </c>
      <c r="P6" s="53">
        <f>Actual!P42</f>
        <v>0</v>
      </c>
      <c r="Q6" s="53">
        <f>Actual!Q42</f>
        <v>0</v>
      </c>
      <c r="R6" s="53">
        <f>SUM(C6:Q6)</f>
        <v>60000</v>
      </c>
    </row>
    <row r="7" spans="2:18" ht="15.6" x14ac:dyDescent="0.3">
      <c r="B7" s="27" t="str">
        <f>Actual!B43</f>
        <v>RDs</v>
      </c>
      <c r="C7" s="53">
        <f>Actual!C43</f>
        <v>3000</v>
      </c>
      <c r="D7" s="53">
        <f>Actual!D43</f>
        <v>3000</v>
      </c>
      <c r="E7" s="53">
        <f>Actual!E43</f>
        <v>3000</v>
      </c>
      <c r="F7" s="53">
        <f>Actual!F43</f>
        <v>3000</v>
      </c>
      <c r="G7" s="53">
        <f>Actual!G43</f>
        <v>3000</v>
      </c>
      <c r="H7" s="53">
        <f>Actual!H43</f>
        <v>3000</v>
      </c>
      <c r="I7" s="53">
        <f>Actual!I43</f>
        <v>0</v>
      </c>
      <c r="J7" s="53">
        <f>Actual!J43</f>
        <v>0</v>
      </c>
      <c r="K7" s="53">
        <f>Actual!K43</f>
        <v>0</v>
      </c>
      <c r="L7" s="53">
        <f>Actual!L43</f>
        <v>0</v>
      </c>
      <c r="M7" s="53">
        <f>Actual!M43</f>
        <v>0</v>
      </c>
      <c r="N7" s="53">
        <f>Actual!N43</f>
        <v>0</v>
      </c>
      <c r="O7" s="53">
        <f>Actual!O43</f>
        <v>0</v>
      </c>
      <c r="P7" s="53">
        <f>Actual!P43</f>
        <v>0</v>
      </c>
      <c r="Q7" s="53">
        <f>Actual!Q43</f>
        <v>0</v>
      </c>
      <c r="R7" s="53">
        <f t="shared" ref="R7:R14" si="0">SUM(C7:Q7)</f>
        <v>18000</v>
      </c>
    </row>
    <row r="8" spans="2:18" ht="15.6" x14ac:dyDescent="0.3">
      <c r="B8" s="27" t="str">
        <f>Actual!B44</f>
        <v>FDs</v>
      </c>
      <c r="C8" s="53">
        <f>Actual!C44</f>
        <v>0</v>
      </c>
      <c r="D8" s="53">
        <f>Actual!D44</f>
        <v>0</v>
      </c>
      <c r="E8" s="53">
        <f>Actual!E44</f>
        <v>0</v>
      </c>
      <c r="F8" s="53">
        <f>Actual!F44</f>
        <v>0</v>
      </c>
      <c r="G8" s="53">
        <f>Actual!G44</f>
        <v>0</v>
      </c>
      <c r="H8" s="53">
        <f>Actual!H44</f>
        <v>0</v>
      </c>
      <c r="I8" s="53">
        <f>Actual!I44</f>
        <v>0</v>
      </c>
      <c r="J8" s="53">
        <f>Actual!J44</f>
        <v>0</v>
      </c>
      <c r="K8" s="53">
        <f>Actual!K44</f>
        <v>0</v>
      </c>
      <c r="L8" s="53">
        <f>Actual!L44</f>
        <v>0</v>
      </c>
      <c r="M8" s="53">
        <f>Actual!M44</f>
        <v>0</v>
      </c>
      <c r="N8" s="53">
        <f>Actual!N44</f>
        <v>0</v>
      </c>
      <c r="O8" s="53">
        <f>Actual!O44</f>
        <v>0</v>
      </c>
      <c r="P8" s="53">
        <f>Actual!P44</f>
        <v>0</v>
      </c>
      <c r="Q8" s="53">
        <f>Actual!Q44</f>
        <v>0</v>
      </c>
      <c r="R8" s="53">
        <f t="shared" si="0"/>
        <v>0</v>
      </c>
    </row>
    <row r="9" spans="2:18" ht="15.6" x14ac:dyDescent="0.3">
      <c r="B9" s="27" t="str">
        <f>Actual!B45</f>
        <v xml:space="preserve">Emergency Fund </v>
      </c>
      <c r="C9" s="53">
        <f>Actual!C45</f>
        <v>10000</v>
      </c>
      <c r="D9" s="53">
        <f>Actual!D45</f>
        <v>10000</v>
      </c>
      <c r="E9" s="53">
        <f>Actual!E45</f>
        <v>10000</v>
      </c>
      <c r="F9" s="53">
        <f>Actual!F45</f>
        <v>10000</v>
      </c>
      <c r="G9" s="53">
        <f>Actual!G45</f>
        <v>10000</v>
      </c>
      <c r="H9" s="53">
        <f>Actual!H45</f>
        <v>10000</v>
      </c>
      <c r="I9" s="53">
        <f>Actual!I45</f>
        <v>0</v>
      </c>
      <c r="J9" s="53">
        <f>Actual!J45</f>
        <v>0</v>
      </c>
      <c r="K9" s="53">
        <f>Actual!K45</f>
        <v>0</v>
      </c>
      <c r="L9" s="53">
        <f>Actual!L45</f>
        <v>0</v>
      </c>
      <c r="M9" s="53">
        <f>Actual!M45</f>
        <v>0</v>
      </c>
      <c r="N9" s="53">
        <f>Actual!N45</f>
        <v>0</v>
      </c>
      <c r="O9" s="53">
        <f>Actual!O45</f>
        <v>0</v>
      </c>
      <c r="P9" s="53">
        <f>Actual!P45</f>
        <v>0</v>
      </c>
      <c r="Q9" s="53">
        <f>Actual!Q45</f>
        <v>0</v>
      </c>
      <c r="R9" s="53">
        <f t="shared" si="0"/>
        <v>60000</v>
      </c>
    </row>
    <row r="10" spans="2:18" ht="15.6" x14ac:dyDescent="0.3">
      <c r="B10" s="27" t="str">
        <f>Actual!B46</f>
        <v>Equities</v>
      </c>
      <c r="C10" s="53">
        <f>Actual!C46</f>
        <v>0</v>
      </c>
      <c r="D10" s="53">
        <f>Actual!D46</f>
        <v>15000</v>
      </c>
      <c r="E10" s="53">
        <f>Actual!E46</f>
        <v>25000</v>
      </c>
      <c r="F10" s="53">
        <f>Actual!F46</f>
        <v>25000</v>
      </c>
      <c r="G10" s="53">
        <f>Actual!G46</f>
        <v>25000</v>
      </c>
      <c r="H10" s="53">
        <f>Actual!H46</f>
        <v>25000</v>
      </c>
      <c r="I10" s="53">
        <f>Actual!I46</f>
        <v>0</v>
      </c>
      <c r="J10" s="53">
        <f>Actual!J46</f>
        <v>0</v>
      </c>
      <c r="K10" s="53">
        <f>Actual!K46</f>
        <v>0</v>
      </c>
      <c r="L10" s="53">
        <f>Actual!L46</f>
        <v>0</v>
      </c>
      <c r="M10" s="53">
        <f>Actual!M46</f>
        <v>0</v>
      </c>
      <c r="N10" s="53">
        <f>Actual!N46</f>
        <v>0</v>
      </c>
      <c r="O10" s="53">
        <f>Actual!O46</f>
        <v>0</v>
      </c>
      <c r="P10" s="53">
        <f>Actual!P46</f>
        <v>0</v>
      </c>
      <c r="Q10" s="53">
        <f>Actual!Q46</f>
        <v>0</v>
      </c>
      <c r="R10" s="53">
        <f t="shared" si="0"/>
        <v>115000</v>
      </c>
    </row>
    <row r="11" spans="2:18" ht="15.6" x14ac:dyDescent="0.3">
      <c r="B11" s="27" t="str">
        <f>Actual!B47</f>
        <v>Trading Account Margin</v>
      </c>
      <c r="C11" s="53">
        <f>Actual!C47</f>
        <v>0</v>
      </c>
      <c r="D11" s="53">
        <f>Actual!D47</f>
        <v>0</v>
      </c>
      <c r="E11" s="53">
        <f>Actual!E47</f>
        <v>0</v>
      </c>
      <c r="F11" s="53">
        <f>Actual!F47</f>
        <v>0</v>
      </c>
      <c r="G11" s="53">
        <f>Actual!G47</f>
        <v>0</v>
      </c>
      <c r="H11" s="53">
        <f>Actual!H47</f>
        <v>0</v>
      </c>
      <c r="I11" s="53">
        <f>Actual!I47</f>
        <v>0</v>
      </c>
      <c r="J11" s="53">
        <f>Actual!J47</f>
        <v>0</v>
      </c>
      <c r="K11" s="53">
        <f>Actual!K47</f>
        <v>0</v>
      </c>
      <c r="L11" s="53">
        <f>Actual!L47</f>
        <v>0</v>
      </c>
      <c r="M11" s="53">
        <f>Actual!M47</f>
        <v>0</v>
      </c>
      <c r="N11" s="53">
        <f>Actual!N47</f>
        <v>0</v>
      </c>
      <c r="O11" s="53">
        <f>Actual!O47</f>
        <v>0</v>
      </c>
      <c r="P11" s="53">
        <f>Actual!P47</f>
        <v>0</v>
      </c>
      <c r="Q11" s="53">
        <f>Actual!Q47</f>
        <v>0</v>
      </c>
      <c r="R11" s="53">
        <f t="shared" si="0"/>
        <v>0</v>
      </c>
    </row>
    <row r="12" spans="2:18" ht="15.6" x14ac:dyDescent="0.3">
      <c r="B12" s="27" t="str">
        <f>Actual!B48</f>
        <v xml:space="preserve">Bonds </v>
      </c>
      <c r="C12" s="53">
        <f>Actual!C48</f>
        <v>5000</v>
      </c>
      <c r="D12" s="53">
        <f>Actual!D48</f>
        <v>5000</v>
      </c>
      <c r="E12" s="53">
        <f>Actual!E48</f>
        <v>5000</v>
      </c>
      <c r="F12" s="53">
        <f>Actual!F48</f>
        <v>5000</v>
      </c>
      <c r="G12" s="53">
        <f>Actual!G48</f>
        <v>5000</v>
      </c>
      <c r="H12" s="53">
        <f>Actual!H48</f>
        <v>5000</v>
      </c>
      <c r="I12" s="53">
        <f>Actual!I48</f>
        <v>0</v>
      </c>
      <c r="J12" s="53">
        <f>Actual!J48</f>
        <v>0</v>
      </c>
      <c r="K12" s="53">
        <f>Actual!K48</f>
        <v>0</v>
      </c>
      <c r="L12" s="53">
        <f>Actual!L48</f>
        <v>0</v>
      </c>
      <c r="M12" s="53">
        <f>Actual!M48</f>
        <v>0</v>
      </c>
      <c r="N12" s="53">
        <f>Actual!N48</f>
        <v>0</v>
      </c>
      <c r="O12" s="53">
        <f>Actual!O48</f>
        <v>0</v>
      </c>
      <c r="P12" s="53">
        <f>Actual!P48</f>
        <v>0</v>
      </c>
      <c r="Q12" s="53">
        <f>Actual!Q48</f>
        <v>0</v>
      </c>
      <c r="R12" s="53">
        <f t="shared" si="0"/>
        <v>30000</v>
      </c>
    </row>
    <row r="13" spans="2:18" ht="15.6" x14ac:dyDescent="0.3">
      <c r="B13" s="27" t="str">
        <f>Actual!B49</f>
        <v>Metals</v>
      </c>
      <c r="C13" s="53">
        <f>Actual!C49</f>
        <v>1000</v>
      </c>
      <c r="D13" s="53">
        <f>Actual!D49</f>
        <v>0</v>
      </c>
      <c r="E13" s="53">
        <f>Actual!E49</f>
        <v>0</v>
      </c>
      <c r="F13" s="53">
        <f>Actual!F49</f>
        <v>0</v>
      </c>
      <c r="G13" s="53">
        <f>Actual!G49</f>
        <v>0</v>
      </c>
      <c r="H13" s="53">
        <f>Actual!H49</f>
        <v>0</v>
      </c>
      <c r="I13" s="53">
        <f>Actual!I49</f>
        <v>0</v>
      </c>
      <c r="J13" s="53">
        <f>Actual!J49</f>
        <v>0</v>
      </c>
      <c r="K13" s="53">
        <f>Actual!K49</f>
        <v>0</v>
      </c>
      <c r="L13" s="53">
        <f>Actual!L49</f>
        <v>0</v>
      </c>
      <c r="M13" s="53">
        <f>Actual!M49</f>
        <v>0</v>
      </c>
      <c r="N13" s="53">
        <f>Actual!N49</f>
        <v>0</v>
      </c>
      <c r="O13" s="53">
        <f>Actual!O49</f>
        <v>0</v>
      </c>
      <c r="P13" s="53">
        <f>Actual!P49</f>
        <v>0</v>
      </c>
      <c r="Q13" s="53">
        <f>Actual!Q49</f>
        <v>0</v>
      </c>
      <c r="R13" s="53">
        <f t="shared" si="0"/>
        <v>1000</v>
      </c>
    </row>
    <row r="14" spans="2:18" ht="15.6" x14ac:dyDescent="0.3">
      <c r="B14" s="27" t="str">
        <f>Actual!B50</f>
        <v>Real Estate</v>
      </c>
      <c r="C14" s="53">
        <f>Actual!C50</f>
        <v>0</v>
      </c>
      <c r="D14" s="53">
        <f>Actual!D50</f>
        <v>0</v>
      </c>
      <c r="E14" s="53">
        <f>Actual!E50</f>
        <v>0</v>
      </c>
      <c r="F14" s="53">
        <f>Actual!F50</f>
        <v>0</v>
      </c>
      <c r="G14" s="53">
        <f>Actual!G50</f>
        <v>0</v>
      </c>
      <c r="H14" s="53">
        <f>Actual!H50</f>
        <v>0</v>
      </c>
      <c r="I14" s="53">
        <f>Actual!I50</f>
        <v>0</v>
      </c>
      <c r="J14" s="53">
        <f>Actual!J50</f>
        <v>0</v>
      </c>
      <c r="K14" s="53">
        <f>Actual!K50</f>
        <v>0</v>
      </c>
      <c r="L14" s="53">
        <f>Actual!L50</f>
        <v>0</v>
      </c>
      <c r="M14" s="53">
        <f>Actual!M50</f>
        <v>0</v>
      </c>
      <c r="N14" s="53">
        <f>Actual!N50</f>
        <v>0</v>
      </c>
      <c r="O14" s="53">
        <f>Actual!O50</f>
        <v>0</v>
      </c>
      <c r="P14" s="53">
        <f>Actual!P50</f>
        <v>0</v>
      </c>
      <c r="Q14" s="53">
        <f>Actual!Q50</f>
        <v>0</v>
      </c>
      <c r="R14" s="53">
        <f t="shared" si="0"/>
        <v>0</v>
      </c>
    </row>
    <row r="15" spans="2:18" ht="4.2" customHeight="1" thickBot="1" x14ac:dyDescent="0.35">
      <c r="B15" s="10"/>
    </row>
    <row r="16" spans="2:18" ht="16.2" thickBot="1" x14ac:dyDescent="0.35">
      <c r="B16" s="22" t="str">
        <f>Actual!B52</f>
        <v>Total Invesments</v>
      </c>
      <c r="C16" s="57">
        <f>Actual!C52</f>
        <v>29000</v>
      </c>
      <c r="D16" s="57">
        <f>Actual!D52</f>
        <v>43000</v>
      </c>
      <c r="E16" s="57">
        <f>Actual!E52</f>
        <v>53000</v>
      </c>
      <c r="F16" s="57">
        <f>Actual!F52</f>
        <v>53000</v>
      </c>
      <c r="G16" s="57">
        <f>Actual!G52</f>
        <v>53000</v>
      </c>
      <c r="H16" s="57">
        <f>Actual!H52</f>
        <v>53000</v>
      </c>
      <c r="I16" s="57">
        <f>Actual!I52</f>
        <v>0</v>
      </c>
      <c r="J16" s="57">
        <f>Actual!J52</f>
        <v>0</v>
      </c>
      <c r="K16" s="57">
        <f>Actual!K52</f>
        <v>0</v>
      </c>
      <c r="L16" s="57">
        <f>Actual!L52</f>
        <v>0</v>
      </c>
      <c r="M16" s="57">
        <f>Actual!M52</f>
        <v>0</v>
      </c>
      <c r="N16" s="57">
        <f>Actual!N52</f>
        <v>0</v>
      </c>
      <c r="O16" s="57">
        <f>Actual!O52</f>
        <v>0</v>
      </c>
      <c r="P16" s="57">
        <f>Actual!P52</f>
        <v>0</v>
      </c>
      <c r="Q16" s="57">
        <f>Actual!Q52</f>
        <v>0</v>
      </c>
      <c r="R16" s="57">
        <f>SUM(C16:Q16)</f>
        <v>284000</v>
      </c>
    </row>
    <row r="17" spans="2:18" ht="4.2" customHeight="1" thickBot="1" x14ac:dyDescent="0.35">
      <c r="B17" s="10"/>
      <c r="C17" s="55"/>
      <c r="D17" s="55"/>
      <c r="E17" s="55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57"/>
    </row>
    <row r="18" spans="2:18" ht="16.2" thickBot="1" x14ac:dyDescent="0.35">
      <c r="B18" s="56" t="str">
        <f>Actual!B54</f>
        <v>Surplus in Cash</v>
      </c>
      <c r="C18" s="57">
        <f>Actual!C54</f>
        <v>42716</v>
      </c>
      <c r="D18" s="57">
        <f>Actual!D54</f>
        <v>11716</v>
      </c>
      <c r="E18" s="57">
        <f>Actual!E54</f>
        <v>1716</v>
      </c>
      <c r="F18" s="57">
        <f>Actual!F54</f>
        <v>6716</v>
      </c>
      <c r="G18" s="57">
        <f>Actual!G54</f>
        <v>1716</v>
      </c>
      <c r="H18" s="57">
        <f>Actual!H54</f>
        <v>1716</v>
      </c>
      <c r="I18" s="57">
        <f>Actual!I54</f>
        <v>0</v>
      </c>
      <c r="J18" s="57">
        <f>Actual!J54</f>
        <v>0</v>
      </c>
      <c r="K18" s="57">
        <f>Actual!K54</f>
        <v>0</v>
      </c>
      <c r="L18" s="57">
        <f>Actual!L54</f>
        <v>0</v>
      </c>
      <c r="M18" s="57">
        <f>Actual!M54</f>
        <v>0</v>
      </c>
      <c r="N18" s="57">
        <f>Actual!N54</f>
        <v>0</v>
      </c>
      <c r="O18" s="57">
        <f>Actual!O54</f>
        <v>0</v>
      </c>
      <c r="P18" s="57">
        <f>Actual!P54</f>
        <v>0</v>
      </c>
      <c r="Q18" s="57">
        <f>Actual!Q54</f>
        <v>0</v>
      </c>
      <c r="R18" s="57">
        <f>SUM(C18:Q18)</f>
        <v>66296</v>
      </c>
    </row>
  </sheetData>
  <mergeCells count="1">
    <mergeCell ref="B2:R2"/>
  </mergeCells>
  <printOptions horizontalCentered="1"/>
  <pageMargins left="0.39370078740157483" right="0.39370078740157483" top="0.78740157480314965" bottom="0.39370078740157483" header="0.39370078740157483" footer="0.39370078740157483"/>
  <pageSetup paperSize="9" scale="79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DAEE-8458-43DF-9D1D-93B68EDE6AAA}">
  <sheetPr codeName="Sheet7">
    <pageSetUpPr fitToPage="1"/>
  </sheetPr>
  <dimension ref="A2:S54"/>
  <sheetViews>
    <sheetView showGridLines="0" view="pageBreakPreview" zoomScale="60" zoomScaleNormal="100" workbookViewId="0">
      <selection activeCell="Q62" sqref="Q62"/>
    </sheetView>
  </sheetViews>
  <sheetFormatPr defaultRowHeight="15.6" x14ac:dyDescent="0.3"/>
  <cols>
    <col min="1" max="1" width="2.33203125" style="11" customWidth="1"/>
    <col min="2" max="2" width="27.109375" bestFit="1" customWidth="1"/>
    <col min="3" max="17" width="11.5546875" bestFit="1" customWidth="1"/>
    <col min="18" max="18" width="15.77734375" customWidth="1"/>
    <col min="19" max="19" width="12.44140625" customWidth="1"/>
  </cols>
  <sheetData>
    <row r="2" spans="1:19" ht="24.6" customHeight="1" x14ac:dyDescent="0.3">
      <c r="B2" s="109" t="s">
        <v>143</v>
      </c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</row>
    <row r="3" spans="1:19" ht="4.2" customHeight="1" x14ac:dyDescent="0.3"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</row>
    <row r="4" spans="1:19" x14ac:dyDescent="0.3">
      <c r="A4" s="11" t="s">
        <v>140</v>
      </c>
      <c r="B4" s="18" t="s">
        <v>126</v>
      </c>
      <c r="C4" s="71" t="s">
        <v>181</v>
      </c>
      <c r="D4" s="71" t="s">
        <v>182</v>
      </c>
      <c r="E4" s="71" t="s">
        <v>183</v>
      </c>
      <c r="F4" s="71" t="s">
        <v>144</v>
      </c>
      <c r="G4" s="71" t="s">
        <v>145</v>
      </c>
      <c r="H4" s="71" t="s">
        <v>146</v>
      </c>
      <c r="I4" s="71" t="s">
        <v>147</v>
      </c>
      <c r="J4" s="71" t="s">
        <v>148</v>
      </c>
      <c r="K4" s="71" t="s">
        <v>149</v>
      </c>
      <c r="L4" s="71" t="s">
        <v>150</v>
      </c>
      <c r="M4" s="71" t="s">
        <v>151</v>
      </c>
      <c r="N4" s="71" t="s">
        <v>152</v>
      </c>
      <c r="O4" s="71" t="s">
        <v>153</v>
      </c>
      <c r="P4" s="71" t="s">
        <v>154</v>
      </c>
      <c r="Q4" s="71" t="s">
        <v>155</v>
      </c>
      <c r="R4" s="71" t="s">
        <v>177</v>
      </c>
      <c r="S4" s="41" t="s">
        <v>218</v>
      </c>
    </row>
    <row r="5" spans="1:19" ht="4.2" customHeight="1" x14ac:dyDescent="0.3">
      <c r="B5" s="1"/>
      <c r="C5" s="1"/>
      <c r="D5" s="1"/>
      <c r="E5" s="1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3"/>
      <c r="S5" s="13">
        <f>SUM(Actual[[#This Row],[Oct-25]:[Dec-26]])</f>
        <v>0</v>
      </c>
    </row>
    <row r="6" spans="1:19" x14ac:dyDescent="0.3">
      <c r="B6" s="28" t="s">
        <v>0</v>
      </c>
      <c r="C6" s="49">
        <v>120000</v>
      </c>
      <c r="D6" s="49">
        <v>120000</v>
      </c>
      <c r="E6" s="49">
        <v>120000</v>
      </c>
      <c r="F6" s="49">
        <v>120000</v>
      </c>
      <c r="G6" s="49">
        <v>120000</v>
      </c>
      <c r="H6" s="49">
        <v>120000</v>
      </c>
      <c r="I6" s="49">
        <v>120000</v>
      </c>
      <c r="J6" s="49">
        <v>120000</v>
      </c>
      <c r="K6" s="49">
        <v>120000</v>
      </c>
      <c r="L6" s="49">
        <v>125000</v>
      </c>
      <c r="M6" s="49">
        <v>125000</v>
      </c>
      <c r="N6" s="49">
        <v>125000</v>
      </c>
      <c r="O6" s="49">
        <v>125000</v>
      </c>
      <c r="P6" s="49">
        <v>125000</v>
      </c>
      <c r="Q6" s="49">
        <v>125000</v>
      </c>
      <c r="R6" s="49">
        <f>AVERAGE(Budget[[#This Row],[Oct-25]:[Dec-26]])</f>
        <v>122000</v>
      </c>
      <c r="S6" s="49">
        <f>SUM(Budget[[#This Row],[Oct-25]:[Dec-26]])</f>
        <v>1830000</v>
      </c>
    </row>
    <row r="7" spans="1:19" x14ac:dyDescent="0.3">
      <c r="B7" s="28" t="s">
        <v>4</v>
      </c>
      <c r="C7" s="49">
        <f ca="1">RANDBETWEEN(10000,12000)</f>
        <v>11183</v>
      </c>
      <c r="D7" s="49">
        <f t="shared" ref="D7:Q7" ca="1" si="0">RANDBETWEEN(10000,12000)</f>
        <v>11765</v>
      </c>
      <c r="E7" s="49">
        <f t="shared" ca="1" si="0"/>
        <v>10895</v>
      </c>
      <c r="F7" s="49">
        <f t="shared" ca="1" si="0"/>
        <v>10583</v>
      </c>
      <c r="G7" s="49">
        <f t="shared" ca="1" si="0"/>
        <v>10468</v>
      </c>
      <c r="H7" s="49">
        <f t="shared" ca="1" si="0"/>
        <v>11182</v>
      </c>
      <c r="I7" s="49">
        <f t="shared" ca="1" si="0"/>
        <v>11819</v>
      </c>
      <c r="J7" s="49">
        <f t="shared" ca="1" si="0"/>
        <v>10593</v>
      </c>
      <c r="K7" s="49">
        <f t="shared" ca="1" si="0"/>
        <v>11439</v>
      </c>
      <c r="L7" s="49">
        <f t="shared" ca="1" si="0"/>
        <v>10795</v>
      </c>
      <c r="M7" s="49">
        <f t="shared" ca="1" si="0"/>
        <v>10787</v>
      </c>
      <c r="N7" s="49">
        <f t="shared" ca="1" si="0"/>
        <v>10800</v>
      </c>
      <c r="O7" s="49">
        <f t="shared" ca="1" si="0"/>
        <v>11932</v>
      </c>
      <c r="P7" s="49">
        <f t="shared" ca="1" si="0"/>
        <v>10721</v>
      </c>
      <c r="Q7" s="49">
        <f t="shared" ca="1" si="0"/>
        <v>10361</v>
      </c>
      <c r="R7" s="49">
        <f ca="1">AVERAGE(Budget[[#This Row],[Oct-25]:[Dec-26]])</f>
        <v>11021.533333333333</v>
      </c>
      <c r="S7" s="49">
        <f ca="1">SUM(Budget[[#This Row],[Oct-25]:[Dec-26]])</f>
        <v>165323</v>
      </c>
    </row>
    <row r="8" spans="1:19" x14ac:dyDescent="0.3">
      <c r="B8" s="28" t="s">
        <v>9</v>
      </c>
      <c r="C8" s="49">
        <f ca="1">RANDBETWEEN(12000,15000)</f>
        <v>12246</v>
      </c>
      <c r="D8" s="49">
        <f t="shared" ref="D8:Q8" ca="1" si="1">RANDBETWEEN(12000,15000)</f>
        <v>12899</v>
      </c>
      <c r="E8" s="49">
        <f t="shared" ca="1" si="1"/>
        <v>12526</v>
      </c>
      <c r="F8" s="49">
        <f t="shared" ca="1" si="1"/>
        <v>14658</v>
      </c>
      <c r="G8" s="49">
        <f t="shared" ca="1" si="1"/>
        <v>13740</v>
      </c>
      <c r="H8" s="49">
        <f t="shared" ca="1" si="1"/>
        <v>12092</v>
      </c>
      <c r="I8" s="49">
        <f t="shared" ca="1" si="1"/>
        <v>12636</v>
      </c>
      <c r="J8" s="49">
        <f t="shared" ca="1" si="1"/>
        <v>14031</v>
      </c>
      <c r="K8" s="49">
        <f t="shared" ca="1" si="1"/>
        <v>14436</v>
      </c>
      <c r="L8" s="49">
        <f t="shared" ca="1" si="1"/>
        <v>12599</v>
      </c>
      <c r="M8" s="49">
        <f t="shared" ca="1" si="1"/>
        <v>14056</v>
      </c>
      <c r="N8" s="49">
        <f t="shared" ca="1" si="1"/>
        <v>12594</v>
      </c>
      <c r="O8" s="49">
        <f t="shared" ca="1" si="1"/>
        <v>14988</v>
      </c>
      <c r="P8" s="49">
        <f t="shared" ca="1" si="1"/>
        <v>13537</v>
      </c>
      <c r="Q8" s="49">
        <f t="shared" ca="1" si="1"/>
        <v>12045</v>
      </c>
      <c r="R8" s="49">
        <f ca="1">AVERAGE(Budget[[#This Row],[Oct-25]:[Dec-26]])</f>
        <v>13272.2</v>
      </c>
      <c r="S8" s="49">
        <f ca="1">SUM(Budget[[#This Row],[Oct-25]:[Dec-26]])</f>
        <v>199083</v>
      </c>
    </row>
    <row r="9" spans="1:19" x14ac:dyDescent="0.3">
      <c r="B9" s="28" t="s">
        <v>14</v>
      </c>
      <c r="C9" s="49">
        <f t="shared" ref="C9:E9" ca="1" si="2">RANDBETWEEN(1200,2500)</f>
        <v>2023</v>
      </c>
      <c r="D9" s="49">
        <f t="shared" ca="1" si="2"/>
        <v>2371</v>
      </c>
      <c r="E9" s="49">
        <f t="shared" ca="1" si="2"/>
        <v>1344</v>
      </c>
      <c r="F9" s="49">
        <f ca="1">RANDBETWEEN(1200,2500)</f>
        <v>1487</v>
      </c>
      <c r="G9" s="49">
        <f t="shared" ref="G9:Q9" ca="1" si="3">RANDBETWEEN(1200,2500)</f>
        <v>1993</v>
      </c>
      <c r="H9" s="49">
        <f t="shared" ca="1" si="3"/>
        <v>1837</v>
      </c>
      <c r="I9" s="49">
        <f t="shared" ca="1" si="3"/>
        <v>2225</v>
      </c>
      <c r="J9" s="49">
        <f t="shared" ca="1" si="3"/>
        <v>1658</v>
      </c>
      <c r="K9" s="49">
        <f t="shared" ca="1" si="3"/>
        <v>1475</v>
      </c>
      <c r="L9" s="49">
        <f t="shared" ca="1" si="3"/>
        <v>1242</v>
      </c>
      <c r="M9" s="49">
        <f t="shared" ca="1" si="3"/>
        <v>2108</v>
      </c>
      <c r="N9" s="49">
        <f t="shared" ca="1" si="3"/>
        <v>2096</v>
      </c>
      <c r="O9" s="49">
        <f t="shared" ca="1" si="3"/>
        <v>2350</v>
      </c>
      <c r="P9" s="49">
        <f t="shared" ca="1" si="3"/>
        <v>1698</v>
      </c>
      <c r="Q9" s="49">
        <f t="shared" ca="1" si="3"/>
        <v>2274</v>
      </c>
      <c r="R9" s="49">
        <f ca="1">AVERAGE(Budget[[#This Row],[Oct-25]:[Dec-26]])</f>
        <v>1878.7333333333333</v>
      </c>
      <c r="S9" s="49">
        <f ca="1">SUM(Budget[[#This Row],[Oct-25]:[Dec-26]])</f>
        <v>28181</v>
      </c>
    </row>
    <row r="10" spans="1:19" x14ac:dyDescent="0.3">
      <c r="B10" s="28" t="s">
        <v>17</v>
      </c>
      <c r="C10" s="49">
        <v>14997</v>
      </c>
      <c r="D10" s="49">
        <v>14998</v>
      </c>
      <c r="E10" s="49">
        <v>14999</v>
      </c>
      <c r="F10" s="49">
        <v>15000</v>
      </c>
      <c r="G10" s="49">
        <v>15000</v>
      </c>
      <c r="H10" s="49">
        <v>15000</v>
      </c>
      <c r="I10" s="49">
        <v>15000</v>
      </c>
      <c r="J10" s="49">
        <v>15000</v>
      </c>
      <c r="K10" s="49">
        <v>15000</v>
      </c>
      <c r="L10" s="49">
        <v>18000</v>
      </c>
      <c r="M10" s="49">
        <v>18000</v>
      </c>
      <c r="N10" s="49">
        <v>18000</v>
      </c>
      <c r="O10" s="49">
        <v>18000</v>
      </c>
      <c r="P10" s="49">
        <v>18000</v>
      </c>
      <c r="Q10" s="49">
        <v>18000</v>
      </c>
      <c r="R10" s="49">
        <f>AVERAGE(Budget[[#This Row],[Oct-25]:[Dec-26]])</f>
        <v>16199.6</v>
      </c>
      <c r="S10" s="49">
        <f>SUM(Budget[[#This Row],[Oct-25]:[Dec-26]])</f>
        <v>242994</v>
      </c>
    </row>
    <row r="11" spans="1:19" x14ac:dyDescent="0.3">
      <c r="B11" s="5" t="s">
        <v>18</v>
      </c>
      <c r="C11" s="50">
        <f ca="1">RANDBETWEEN(1000,3000)</f>
        <v>1008</v>
      </c>
      <c r="D11" s="50">
        <f t="shared" ref="D11:Q11" ca="1" si="4">RANDBETWEEN(1000,3000)</f>
        <v>2026</v>
      </c>
      <c r="E11" s="50">
        <f t="shared" ca="1" si="4"/>
        <v>1349</v>
      </c>
      <c r="F11" s="50">
        <f t="shared" ca="1" si="4"/>
        <v>1801</v>
      </c>
      <c r="G11" s="50">
        <f t="shared" ca="1" si="4"/>
        <v>1768</v>
      </c>
      <c r="H11" s="50">
        <f t="shared" ca="1" si="4"/>
        <v>2133</v>
      </c>
      <c r="I11" s="50">
        <f t="shared" ca="1" si="4"/>
        <v>2988</v>
      </c>
      <c r="J11" s="50">
        <f t="shared" ca="1" si="4"/>
        <v>2497</v>
      </c>
      <c r="K11" s="50">
        <f t="shared" ca="1" si="4"/>
        <v>1104</v>
      </c>
      <c r="L11" s="50">
        <f t="shared" ca="1" si="4"/>
        <v>2556</v>
      </c>
      <c r="M11" s="50">
        <f t="shared" ca="1" si="4"/>
        <v>1678</v>
      </c>
      <c r="N11" s="50">
        <f t="shared" ca="1" si="4"/>
        <v>2600</v>
      </c>
      <c r="O11" s="50">
        <f t="shared" ca="1" si="4"/>
        <v>2155</v>
      </c>
      <c r="P11" s="50">
        <f t="shared" ca="1" si="4"/>
        <v>2957</v>
      </c>
      <c r="Q11" s="50">
        <f t="shared" ca="1" si="4"/>
        <v>2429</v>
      </c>
      <c r="R11" s="49">
        <f ca="1">AVERAGE(Budget[[#This Row],[Oct-25]:[Dec-26]])</f>
        <v>2069.9333333333334</v>
      </c>
      <c r="S11" s="49">
        <f ca="1">SUM(Budget[[#This Row],[Oct-25]:[Dec-26]])</f>
        <v>31049</v>
      </c>
    </row>
    <row r="12" spans="1:19" x14ac:dyDescent="0.3">
      <c r="A12" s="11" t="s">
        <v>134</v>
      </c>
      <c r="B12" s="17" t="s">
        <v>2</v>
      </c>
      <c r="C12" s="51">
        <f t="shared" ref="C12:E12" ca="1" si="5">SUM(C6:C11)</f>
        <v>161457</v>
      </c>
      <c r="D12" s="51">
        <f t="shared" ca="1" si="5"/>
        <v>164059</v>
      </c>
      <c r="E12" s="51">
        <f t="shared" ca="1" si="5"/>
        <v>161113</v>
      </c>
      <c r="F12" s="51">
        <f ca="1">SUM(F6:F11)</f>
        <v>163529</v>
      </c>
      <c r="G12" s="51">
        <f t="shared" ref="G12:Q12" ca="1" si="6">SUM(G6:G11)</f>
        <v>162969</v>
      </c>
      <c r="H12" s="51">
        <f t="shared" ca="1" si="6"/>
        <v>162244</v>
      </c>
      <c r="I12" s="51">
        <f t="shared" ca="1" si="6"/>
        <v>164668</v>
      </c>
      <c r="J12" s="51">
        <f t="shared" ca="1" si="6"/>
        <v>163779</v>
      </c>
      <c r="K12" s="51">
        <f t="shared" ca="1" si="6"/>
        <v>163454</v>
      </c>
      <c r="L12" s="51">
        <f t="shared" ca="1" si="6"/>
        <v>170192</v>
      </c>
      <c r="M12" s="51">
        <f t="shared" ca="1" si="6"/>
        <v>171629</v>
      </c>
      <c r="N12" s="51">
        <f t="shared" ca="1" si="6"/>
        <v>171090</v>
      </c>
      <c r="O12" s="51">
        <f t="shared" ca="1" si="6"/>
        <v>174425</v>
      </c>
      <c r="P12" s="51">
        <f t="shared" ca="1" si="6"/>
        <v>171913</v>
      </c>
      <c r="Q12" s="51">
        <f t="shared" ca="1" si="6"/>
        <v>170109</v>
      </c>
      <c r="R12" s="51">
        <f ca="1">SUM(R6:R11)</f>
        <v>166442</v>
      </c>
      <c r="S12" s="51">
        <f ca="1">SUM(Budget[[#This Row],[Oct-25]:[Dec-26]])</f>
        <v>2496630</v>
      </c>
    </row>
    <row r="13" spans="1:19" x14ac:dyDescent="0.3">
      <c r="B13" s="2"/>
      <c r="C13" s="2"/>
      <c r="D13" s="2"/>
      <c r="E13" s="2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19" x14ac:dyDescent="0.3">
      <c r="B14" s="18" t="s">
        <v>22</v>
      </c>
      <c r="C14" s="18"/>
      <c r="D14" s="18"/>
      <c r="E14" s="18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3"/>
      <c r="S14" s="13"/>
    </row>
    <row r="15" spans="1:19" ht="4.2" customHeight="1" x14ac:dyDescent="0.3">
      <c r="B15" s="12"/>
      <c r="C15" s="12"/>
      <c r="D15" s="12"/>
      <c r="E15" s="12"/>
      <c r="F15" s="13"/>
      <c r="G15" s="13"/>
      <c r="H15" s="13"/>
      <c r="I15" s="2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19" x14ac:dyDescent="0.3">
      <c r="B16" s="28" t="s">
        <v>1</v>
      </c>
      <c r="C16" s="49">
        <v>34997</v>
      </c>
      <c r="D16" s="49">
        <v>34998</v>
      </c>
      <c r="E16" s="49">
        <v>34999</v>
      </c>
      <c r="F16" s="49">
        <v>35000</v>
      </c>
      <c r="G16" s="49">
        <v>35000</v>
      </c>
      <c r="H16" s="49">
        <v>35000</v>
      </c>
      <c r="I16" s="49">
        <v>35000</v>
      </c>
      <c r="J16" s="49">
        <v>35000</v>
      </c>
      <c r="K16" s="49">
        <v>35000</v>
      </c>
      <c r="L16" s="49">
        <v>40000</v>
      </c>
      <c r="M16" s="49">
        <v>40000</v>
      </c>
      <c r="N16" s="49">
        <v>40000</v>
      </c>
      <c r="O16" s="49">
        <v>40000</v>
      </c>
      <c r="P16" s="49">
        <v>40000</v>
      </c>
      <c r="Q16" s="49">
        <v>40000</v>
      </c>
      <c r="R16" s="49">
        <f>AVERAGE(Budget[[#This Row],[Oct-25]:[Dec-26]])</f>
        <v>36999.599999999999</v>
      </c>
      <c r="S16" s="49">
        <f>SUM(Budget[[#This Row],[Oct-25]:[Dec-26]])</f>
        <v>554994</v>
      </c>
    </row>
    <row r="17" spans="1:19" x14ac:dyDescent="0.3">
      <c r="B17" s="28" t="s">
        <v>26</v>
      </c>
      <c r="C17" s="49">
        <f t="shared" ref="C17:E17" ca="1" si="7">RANDBETWEEN(5000,9000)</f>
        <v>8264</v>
      </c>
      <c r="D17" s="49">
        <f t="shared" ca="1" si="7"/>
        <v>8042</v>
      </c>
      <c r="E17" s="49">
        <f t="shared" ca="1" si="7"/>
        <v>8843</v>
      </c>
      <c r="F17" s="49">
        <f ca="1">RANDBETWEEN(5000,9000)</f>
        <v>8482</v>
      </c>
      <c r="G17" s="49">
        <f t="shared" ref="G17:Q17" ca="1" si="8">RANDBETWEEN(5000,9000)</f>
        <v>8325</v>
      </c>
      <c r="H17" s="49">
        <f t="shared" ca="1" si="8"/>
        <v>6454</v>
      </c>
      <c r="I17" s="49">
        <f t="shared" ca="1" si="8"/>
        <v>7706</v>
      </c>
      <c r="J17" s="49">
        <f t="shared" ca="1" si="8"/>
        <v>7295</v>
      </c>
      <c r="K17" s="49">
        <f t="shared" ca="1" si="8"/>
        <v>7024</v>
      </c>
      <c r="L17" s="49">
        <f t="shared" ca="1" si="8"/>
        <v>8281</v>
      </c>
      <c r="M17" s="49">
        <f t="shared" ca="1" si="8"/>
        <v>5276</v>
      </c>
      <c r="N17" s="49">
        <f t="shared" ca="1" si="8"/>
        <v>6457</v>
      </c>
      <c r="O17" s="49">
        <f t="shared" ca="1" si="8"/>
        <v>7715</v>
      </c>
      <c r="P17" s="49">
        <f t="shared" ca="1" si="8"/>
        <v>7042</v>
      </c>
      <c r="Q17" s="49">
        <f t="shared" ca="1" si="8"/>
        <v>5713</v>
      </c>
      <c r="R17" s="49">
        <f ca="1">AVERAGE(Budget[[#This Row],[Oct-25]:[Dec-26]])</f>
        <v>7394.6</v>
      </c>
      <c r="S17" s="49">
        <f ca="1">SUM(Budget[[#This Row],[Oct-25]:[Dec-26]])</f>
        <v>110919</v>
      </c>
    </row>
    <row r="18" spans="1:19" x14ac:dyDescent="0.3">
      <c r="B18" s="28" t="s">
        <v>32</v>
      </c>
      <c r="C18" s="49">
        <v>5000</v>
      </c>
      <c r="D18" s="49">
        <v>5000</v>
      </c>
      <c r="E18" s="49">
        <v>5000</v>
      </c>
      <c r="F18" s="49">
        <v>5000</v>
      </c>
      <c r="G18" s="49">
        <v>5000</v>
      </c>
      <c r="H18" s="49">
        <v>5000</v>
      </c>
      <c r="I18" s="49">
        <v>5000</v>
      </c>
      <c r="J18" s="49">
        <v>5000</v>
      </c>
      <c r="K18" s="49">
        <v>5000</v>
      </c>
      <c r="L18" s="49">
        <v>5000</v>
      </c>
      <c r="M18" s="49">
        <v>5000</v>
      </c>
      <c r="N18" s="49">
        <v>5000</v>
      </c>
      <c r="O18" s="49">
        <v>5000</v>
      </c>
      <c r="P18" s="49">
        <v>5000</v>
      </c>
      <c r="Q18" s="49">
        <v>5000</v>
      </c>
      <c r="R18" s="49">
        <f>AVERAGE(Budget[[#This Row],[Oct-25]:[Dec-26]])</f>
        <v>5000</v>
      </c>
      <c r="S18" s="49">
        <f>SUM(Budget[[#This Row],[Oct-25]:[Dec-26]])</f>
        <v>75000</v>
      </c>
    </row>
    <row r="19" spans="1:19" x14ac:dyDescent="0.3">
      <c r="B19" s="28" t="s">
        <v>40</v>
      </c>
      <c r="C19" s="49">
        <v>35000</v>
      </c>
      <c r="D19" s="49">
        <v>35000</v>
      </c>
      <c r="E19" s="49">
        <v>35000</v>
      </c>
      <c r="F19" s="49">
        <v>35000</v>
      </c>
      <c r="G19" s="49">
        <v>35000</v>
      </c>
      <c r="H19" s="49">
        <v>35000</v>
      </c>
      <c r="I19" s="49">
        <v>35000</v>
      </c>
      <c r="J19" s="49">
        <v>35000</v>
      </c>
      <c r="K19" s="49">
        <v>35000</v>
      </c>
      <c r="L19" s="49">
        <v>35000</v>
      </c>
      <c r="M19" s="49">
        <v>35000</v>
      </c>
      <c r="N19" s="49">
        <v>35000</v>
      </c>
      <c r="O19" s="49">
        <v>35000</v>
      </c>
      <c r="P19" s="49">
        <v>35000</v>
      </c>
      <c r="Q19" s="49">
        <v>35000</v>
      </c>
      <c r="R19" s="49">
        <f>AVERAGE(Budget[[#This Row],[Oct-25]:[Dec-26]])</f>
        <v>35000</v>
      </c>
      <c r="S19" s="49">
        <f>SUM(Budget[[#This Row],[Oct-25]:[Dec-26]])</f>
        <v>525000</v>
      </c>
    </row>
    <row r="20" spans="1:19" x14ac:dyDescent="0.3">
      <c r="B20" s="28" t="s">
        <v>46</v>
      </c>
      <c r="C20" s="49">
        <v>2800</v>
      </c>
      <c r="D20" s="49">
        <v>2800</v>
      </c>
      <c r="E20" s="49">
        <v>2800</v>
      </c>
      <c r="F20" s="49">
        <v>2800</v>
      </c>
      <c r="G20" s="49">
        <v>2800</v>
      </c>
      <c r="H20" s="49">
        <v>2800</v>
      </c>
      <c r="I20" s="49">
        <v>2800</v>
      </c>
      <c r="J20" s="49">
        <v>2800</v>
      </c>
      <c r="K20" s="49">
        <v>2800</v>
      </c>
      <c r="L20" s="49">
        <v>2800</v>
      </c>
      <c r="M20" s="49">
        <v>2800</v>
      </c>
      <c r="N20" s="49">
        <v>2800</v>
      </c>
      <c r="O20" s="49">
        <v>2800</v>
      </c>
      <c r="P20" s="49">
        <v>2800</v>
      </c>
      <c r="Q20" s="49">
        <v>2800</v>
      </c>
      <c r="R20" s="49">
        <f>AVERAGE(Budget[[#This Row],[Oct-25]:[Dec-26]])</f>
        <v>2800</v>
      </c>
      <c r="S20" s="49">
        <f>SUM(Budget[[#This Row],[Oct-25]:[Dec-26]])</f>
        <v>42000</v>
      </c>
    </row>
    <row r="21" spans="1:19" x14ac:dyDescent="0.3">
      <c r="B21" s="28" t="s">
        <v>50</v>
      </c>
      <c r="C21" s="49">
        <f t="shared" ref="C21:E21" ca="1" si="9">RANDBETWEEN(500,1500)</f>
        <v>710</v>
      </c>
      <c r="D21" s="49">
        <f t="shared" ca="1" si="9"/>
        <v>586</v>
      </c>
      <c r="E21" s="49">
        <f t="shared" ca="1" si="9"/>
        <v>726</v>
      </c>
      <c r="F21" s="49">
        <f ca="1">RANDBETWEEN(500,1500)</f>
        <v>1497</v>
      </c>
      <c r="G21" s="49">
        <f t="shared" ref="G21:Q21" ca="1" si="10">RANDBETWEEN(500,1500)</f>
        <v>1490</v>
      </c>
      <c r="H21" s="49">
        <f t="shared" ca="1" si="10"/>
        <v>989</v>
      </c>
      <c r="I21" s="49">
        <f t="shared" ca="1" si="10"/>
        <v>1004</v>
      </c>
      <c r="J21" s="49">
        <f t="shared" ca="1" si="10"/>
        <v>774</v>
      </c>
      <c r="K21" s="49">
        <f t="shared" ca="1" si="10"/>
        <v>855</v>
      </c>
      <c r="L21" s="49">
        <f t="shared" ca="1" si="10"/>
        <v>1404</v>
      </c>
      <c r="M21" s="49">
        <f t="shared" ca="1" si="10"/>
        <v>987</v>
      </c>
      <c r="N21" s="49">
        <f t="shared" ca="1" si="10"/>
        <v>583</v>
      </c>
      <c r="O21" s="49">
        <f t="shared" ca="1" si="10"/>
        <v>733</v>
      </c>
      <c r="P21" s="49">
        <f t="shared" ca="1" si="10"/>
        <v>832</v>
      </c>
      <c r="Q21" s="49">
        <f t="shared" ca="1" si="10"/>
        <v>1104</v>
      </c>
      <c r="R21" s="49">
        <f ca="1">AVERAGE(Budget[[#This Row],[Oct-25]:[Dec-26]])</f>
        <v>951.6</v>
      </c>
      <c r="S21" s="49">
        <f ca="1">SUM(Budget[[#This Row],[Oct-25]:[Dec-26]])</f>
        <v>14274</v>
      </c>
    </row>
    <row r="22" spans="1:19" x14ac:dyDescent="0.3">
      <c r="B22" s="28" t="s">
        <v>53</v>
      </c>
      <c r="C22" s="49">
        <f>5000</f>
        <v>5000</v>
      </c>
      <c r="D22" s="49">
        <f>5000</f>
        <v>5000</v>
      </c>
      <c r="E22" s="49">
        <f>5000</f>
        <v>5000</v>
      </c>
      <c r="F22" s="49">
        <f>5000</f>
        <v>5000</v>
      </c>
      <c r="G22" s="49">
        <f>5000</f>
        <v>5000</v>
      </c>
      <c r="H22" s="49">
        <f>5000</f>
        <v>5000</v>
      </c>
      <c r="I22" s="49">
        <f>5000</f>
        <v>5000</v>
      </c>
      <c r="J22" s="49">
        <f>5000</f>
        <v>5000</v>
      </c>
      <c r="K22" s="49">
        <f>5000</f>
        <v>5000</v>
      </c>
      <c r="L22" s="49">
        <f>5000</f>
        <v>5000</v>
      </c>
      <c r="M22" s="49">
        <f>5000</f>
        <v>5000</v>
      </c>
      <c r="N22" s="49">
        <f>5000</f>
        <v>5000</v>
      </c>
      <c r="O22" s="49">
        <f>5000</f>
        <v>5000</v>
      </c>
      <c r="P22" s="49">
        <f>5000</f>
        <v>5000</v>
      </c>
      <c r="Q22" s="49">
        <f>5000</f>
        <v>5000</v>
      </c>
      <c r="R22" s="49">
        <f>AVERAGE(Budget[[#This Row],[Oct-25]:[Dec-26]])</f>
        <v>5000</v>
      </c>
      <c r="S22" s="49">
        <f>SUM(Budget[[#This Row],[Oct-25]:[Dec-26]])</f>
        <v>75000</v>
      </c>
    </row>
    <row r="23" spans="1:19" ht="4.2" customHeight="1" x14ac:dyDescent="0.3">
      <c r="B23" s="5"/>
      <c r="C23" s="5"/>
      <c r="D23" s="5"/>
      <c r="E23" s="5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</row>
    <row r="24" spans="1:19" x14ac:dyDescent="0.3">
      <c r="A24" s="11" t="s">
        <v>135</v>
      </c>
      <c r="B24" s="17" t="s">
        <v>127</v>
      </c>
      <c r="C24" s="51">
        <f ca="1">SUM(C16:C22)</f>
        <v>91771</v>
      </c>
      <c r="D24" s="51">
        <f t="shared" ref="D24:E24" ca="1" si="11">SUM(D16:D22)</f>
        <v>91426</v>
      </c>
      <c r="E24" s="51">
        <f t="shared" ca="1" si="11"/>
        <v>92368</v>
      </c>
      <c r="F24" s="51">
        <f ca="1">SUM(F16:F22)</f>
        <v>92779</v>
      </c>
      <c r="G24" s="51">
        <f t="shared" ref="G24:R24" ca="1" si="12">SUM(G16:G22)</f>
        <v>92615</v>
      </c>
      <c r="H24" s="51">
        <f t="shared" ca="1" si="12"/>
        <v>90243</v>
      </c>
      <c r="I24" s="51">
        <f t="shared" ca="1" si="12"/>
        <v>91510</v>
      </c>
      <c r="J24" s="51">
        <f t="shared" ca="1" si="12"/>
        <v>90869</v>
      </c>
      <c r="K24" s="51">
        <f t="shared" ca="1" si="12"/>
        <v>90679</v>
      </c>
      <c r="L24" s="51">
        <f t="shared" ca="1" si="12"/>
        <v>97485</v>
      </c>
      <c r="M24" s="51">
        <f t="shared" ca="1" si="12"/>
        <v>94063</v>
      </c>
      <c r="N24" s="51">
        <f t="shared" ca="1" si="12"/>
        <v>94840</v>
      </c>
      <c r="O24" s="51">
        <f t="shared" ca="1" si="12"/>
        <v>96248</v>
      </c>
      <c r="P24" s="51">
        <f t="shared" ca="1" si="12"/>
        <v>95674</v>
      </c>
      <c r="Q24" s="51">
        <f t="shared" ca="1" si="12"/>
        <v>94617</v>
      </c>
      <c r="R24" s="51">
        <f t="shared" ca="1" si="12"/>
        <v>93145.8</v>
      </c>
      <c r="S24" s="51">
        <f ca="1">SUM(Budget[[#This Row],[Oct-25]:[Dec-26]])</f>
        <v>1397187</v>
      </c>
    </row>
    <row r="25" spans="1:19" x14ac:dyDescent="0.3">
      <c r="B25" s="2"/>
      <c r="C25" s="2"/>
      <c r="D25" s="2"/>
      <c r="E25" s="2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</row>
    <row r="26" spans="1:19" x14ac:dyDescent="0.3">
      <c r="B26" s="18" t="s">
        <v>55</v>
      </c>
      <c r="C26" s="18"/>
      <c r="D26" s="18"/>
      <c r="E26" s="18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3"/>
      <c r="S26" s="13"/>
    </row>
    <row r="27" spans="1:19" ht="4.2" customHeight="1" x14ac:dyDescent="0.3">
      <c r="B27" s="20"/>
      <c r="C27" s="20"/>
      <c r="D27" s="20"/>
      <c r="E27" s="20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13"/>
      <c r="S27" s="13"/>
    </row>
    <row r="28" spans="1:19" x14ac:dyDescent="0.3">
      <c r="B28" s="28" t="s">
        <v>56</v>
      </c>
      <c r="C28" s="49">
        <f t="shared" ref="C28:E28" ca="1" si="13">RANDBETWEEN(4000,6000)</f>
        <v>4693</v>
      </c>
      <c r="D28" s="49">
        <f t="shared" ca="1" si="13"/>
        <v>5226</v>
      </c>
      <c r="E28" s="49">
        <f t="shared" ca="1" si="13"/>
        <v>5736</v>
      </c>
      <c r="F28" s="49">
        <f ca="1">RANDBETWEEN(4000,6000)</f>
        <v>5543</v>
      </c>
      <c r="G28" s="49">
        <f t="shared" ref="G28:Q28" ca="1" si="14">RANDBETWEEN(4000,6000)</f>
        <v>4690</v>
      </c>
      <c r="H28" s="49">
        <f t="shared" ca="1" si="14"/>
        <v>5445</v>
      </c>
      <c r="I28" s="49">
        <f t="shared" ca="1" si="14"/>
        <v>5796</v>
      </c>
      <c r="J28" s="49">
        <f t="shared" ca="1" si="14"/>
        <v>5432</v>
      </c>
      <c r="K28" s="49">
        <f t="shared" ca="1" si="14"/>
        <v>4560</v>
      </c>
      <c r="L28" s="49">
        <f t="shared" ca="1" si="14"/>
        <v>4684</v>
      </c>
      <c r="M28" s="49">
        <f t="shared" ca="1" si="14"/>
        <v>4058</v>
      </c>
      <c r="N28" s="49">
        <f t="shared" ca="1" si="14"/>
        <v>5012</v>
      </c>
      <c r="O28" s="49">
        <f t="shared" ca="1" si="14"/>
        <v>5423</v>
      </c>
      <c r="P28" s="49">
        <f t="shared" ca="1" si="14"/>
        <v>4808</v>
      </c>
      <c r="Q28" s="49">
        <f t="shared" ca="1" si="14"/>
        <v>4060</v>
      </c>
      <c r="R28" s="49">
        <f ca="1">AVERAGE(Budget[[#This Row],[Oct-25]:[Dec-26]])</f>
        <v>5011.0666666666666</v>
      </c>
      <c r="S28" s="49">
        <f>SUM(Actual[[#This Row],[Oct-25]:[Dec-26]])</f>
        <v>35622</v>
      </c>
    </row>
    <row r="29" spans="1:19" x14ac:dyDescent="0.3">
      <c r="B29" s="28" t="s">
        <v>128</v>
      </c>
      <c r="C29" s="49">
        <f t="shared" ref="C29:E29" ca="1" si="15">RANDBETWEEN(3000,6000)</f>
        <v>5449</v>
      </c>
      <c r="D29" s="49">
        <f t="shared" ca="1" si="15"/>
        <v>4666</v>
      </c>
      <c r="E29" s="49">
        <f t="shared" ca="1" si="15"/>
        <v>3987</v>
      </c>
      <c r="F29" s="49">
        <f ca="1">RANDBETWEEN(3000,6000)</f>
        <v>3660</v>
      </c>
      <c r="G29" s="49">
        <f t="shared" ref="G29:Q29" ca="1" si="16">RANDBETWEEN(3000,6000)</f>
        <v>4508</v>
      </c>
      <c r="H29" s="49">
        <f t="shared" ca="1" si="16"/>
        <v>3908</v>
      </c>
      <c r="I29" s="49">
        <f t="shared" ca="1" si="16"/>
        <v>3844</v>
      </c>
      <c r="J29" s="49">
        <f t="shared" ca="1" si="16"/>
        <v>5738</v>
      </c>
      <c r="K29" s="49">
        <f t="shared" ca="1" si="16"/>
        <v>4950</v>
      </c>
      <c r="L29" s="49">
        <f t="shared" ca="1" si="16"/>
        <v>4771</v>
      </c>
      <c r="M29" s="49">
        <f t="shared" ca="1" si="16"/>
        <v>4901</v>
      </c>
      <c r="N29" s="49">
        <f t="shared" ca="1" si="16"/>
        <v>4921</v>
      </c>
      <c r="O29" s="49">
        <f t="shared" ca="1" si="16"/>
        <v>5521</v>
      </c>
      <c r="P29" s="49">
        <f t="shared" ca="1" si="16"/>
        <v>3423</v>
      </c>
      <c r="Q29" s="49">
        <f t="shared" ca="1" si="16"/>
        <v>5520</v>
      </c>
      <c r="R29" s="49">
        <f ca="1">AVERAGE(Budget[[#This Row],[Oct-25]:[Dec-26]])</f>
        <v>4651.1333333333332</v>
      </c>
      <c r="S29" s="49">
        <f>SUM(Actual[[#This Row],[Oct-25]:[Dec-26]])</f>
        <v>31512</v>
      </c>
    </row>
    <row r="30" spans="1:19" x14ac:dyDescent="0.3">
      <c r="B30" s="28" t="s">
        <v>129</v>
      </c>
      <c r="C30" s="49">
        <f t="shared" ref="C30:E30" ca="1" si="17">RANDBETWEEN(1500,2500)</f>
        <v>1845</v>
      </c>
      <c r="D30" s="49">
        <f t="shared" ca="1" si="17"/>
        <v>2315</v>
      </c>
      <c r="E30" s="49">
        <f t="shared" ca="1" si="17"/>
        <v>2462</v>
      </c>
      <c r="F30" s="49">
        <f ca="1">RANDBETWEEN(1500,2500)</f>
        <v>2384</v>
      </c>
      <c r="G30" s="49">
        <f t="shared" ref="G30:Q30" ca="1" si="18">RANDBETWEEN(1500,2500)</f>
        <v>1553</v>
      </c>
      <c r="H30" s="49">
        <f t="shared" ca="1" si="18"/>
        <v>2332</v>
      </c>
      <c r="I30" s="49">
        <f t="shared" ca="1" si="18"/>
        <v>1599</v>
      </c>
      <c r="J30" s="49">
        <f t="shared" ca="1" si="18"/>
        <v>2411</v>
      </c>
      <c r="K30" s="49">
        <f t="shared" ca="1" si="18"/>
        <v>2367</v>
      </c>
      <c r="L30" s="49">
        <f t="shared" ca="1" si="18"/>
        <v>2197</v>
      </c>
      <c r="M30" s="49">
        <f t="shared" ca="1" si="18"/>
        <v>1841</v>
      </c>
      <c r="N30" s="49">
        <f t="shared" ca="1" si="18"/>
        <v>1977</v>
      </c>
      <c r="O30" s="49">
        <f t="shared" ca="1" si="18"/>
        <v>1862</v>
      </c>
      <c r="P30" s="49">
        <f t="shared" ca="1" si="18"/>
        <v>2462</v>
      </c>
      <c r="Q30" s="49">
        <f t="shared" ca="1" si="18"/>
        <v>2272</v>
      </c>
      <c r="R30" s="49">
        <f ca="1">AVERAGE(Budget[[#This Row],[Oct-25]:[Dec-26]])</f>
        <v>2125.2666666666669</v>
      </c>
      <c r="S30" s="49">
        <f>SUM(Actual[[#This Row],[Oct-25]:[Dec-26]])</f>
        <v>12498</v>
      </c>
    </row>
    <row r="31" spans="1:19" x14ac:dyDescent="0.3">
      <c r="B31" s="28" t="s">
        <v>130</v>
      </c>
      <c r="C31" s="49">
        <f t="shared" ref="C31:E31" ca="1" si="19">RANDBETWEEN(0,2500)</f>
        <v>466</v>
      </c>
      <c r="D31" s="49">
        <f t="shared" ca="1" si="19"/>
        <v>2102</v>
      </c>
      <c r="E31" s="49">
        <f t="shared" ca="1" si="19"/>
        <v>964</v>
      </c>
      <c r="F31" s="49">
        <f ca="1">RANDBETWEEN(0,2500)</f>
        <v>1617</v>
      </c>
      <c r="G31" s="49">
        <f t="shared" ref="G31:Q31" ca="1" si="20">RANDBETWEEN(0,2500)</f>
        <v>1767</v>
      </c>
      <c r="H31" s="49">
        <f t="shared" ca="1" si="20"/>
        <v>1379</v>
      </c>
      <c r="I31" s="49">
        <f t="shared" ca="1" si="20"/>
        <v>2254</v>
      </c>
      <c r="J31" s="49">
        <f t="shared" ca="1" si="20"/>
        <v>2243</v>
      </c>
      <c r="K31" s="49">
        <f t="shared" ca="1" si="20"/>
        <v>2103</v>
      </c>
      <c r="L31" s="49">
        <f t="shared" ca="1" si="20"/>
        <v>2392</v>
      </c>
      <c r="M31" s="49">
        <f t="shared" ca="1" si="20"/>
        <v>994</v>
      </c>
      <c r="N31" s="49">
        <f t="shared" ca="1" si="20"/>
        <v>940</v>
      </c>
      <c r="O31" s="49">
        <f t="shared" ca="1" si="20"/>
        <v>1508</v>
      </c>
      <c r="P31" s="49">
        <f t="shared" ca="1" si="20"/>
        <v>1408</v>
      </c>
      <c r="Q31" s="49">
        <f t="shared" ca="1" si="20"/>
        <v>1996</v>
      </c>
      <c r="R31" s="49">
        <f ca="1">AVERAGE(Budget[[#This Row],[Oct-25]:[Dec-26]])</f>
        <v>1608.8666666666666</v>
      </c>
      <c r="S31" s="49">
        <f>SUM(Actual[[#This Row],[Oct-25]:[Dec-26]])</f>
        <v>8454</v>
      </c>
    </row>
    <row r="32" spans="1:19" x14ac:dyDescent="0.3">
      <c r="B32" s="28" t="s">
        <v>131</v>
      </c>
      <c r="C32" s="49">
        <f t="shared" ref="C32:E32" ca="1" si="21">RANDBETWEEN(1500,2000)</f>
        <v>1771</v>
      </c>
      <c r="D32" s="49">
        <f t="shared" ca="1" si="21"/>
        <v>1846</v>
      </c>
      <c r="E32" s="49">
        <f t="shared" ca="1" si="21"/>
        <v>1612</v>
      </c>
      <c r="F32" s="49">
        <f ca="1">RANDBETWEEN(1500,2000)</f>
        <v>1559</v>
      </c>
      <c r="G32" s="49">
        <f t="shared" ref="G32:Q32" ca="1" si="22">RANDBETWEEN(1500,2000)</f>
        <v>1975</v>
      </c>
      <c r="H32" s="49">
        <f t="shared" ca="1" si="22"/>
        <v>1695</v>
      </c>
      <c r="I32" s="49">
        <f t="shared" ca="1" si="22"/>
        <v>1594</v>
      </c>
      <c r="J32" s="49">
        <f t="shared" ca="1" si="22"/>
        <v>1630</v>
      </c>
      <c r="K32" s="49">
        <f t="shared" ca="1" si="22"/>
        <v>1784</v>
      </c>
      <c r="L32" s="49">
        <f t="shared" ca="1" si="22"/>
        <v>1531</v>
      </c>
      <c r="M32" s="49">
        <f t="shared" ca="1" si="22"/>
        <v>1609</v>
      </c>
      <c r="N32" s="49">
        <f t="shared" ca="1" si="22"/>
        <v>1869</v>
      </c>
      <c r="O32" s="49">
        <f t="shared" ca="1" si="22"/>
        <v>1603</v>
      </c>
      <c r="P32" s="49">
        <f t="shared" ca="1" si="22"/>
        <v>1785</v>
      </c>
      <c r="Q32" s="49">
        <f t="shared" ca="1" si="22"/>
        <v>1919</v>
      </c>
      <c r="R32" s="49">
        <f ca="1">AVERAGE(Budget[[#This Row],[Oct-25]:[Dec-26]])</f>
        <v>1718.8</v>
      </c>
      <c r="S32" s="49">
        <f>SUM(Actual[[#This Row],[Oct-25]:[Dec-26]])</f>
        <v>11442</v>
      </c>
    </row>
    <row r="33" spans="1:19" ht="4.2" customHeight="1" x14ac:dyDescent="0.3">
      <c r="B33" s="5"/>
      <c r="C33" s="5"/>
      <c r="D33" s="5"/>
      <c r="E33" s="5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</row>
    <row r="34" spans="1:19" x14ac:dyDescent="0.3">
      <c r="A34" s="11" t="s">
        <v>136</v>
      </c>
      <c r="B34" s="17" t="s">
        <v>132</v>
      </c>
      <c r="C34" s="51">
        <f t="shared" ref="C34:E34" ca="1" si="23">SUM(C28:C32)</f>
        <v>14224</v>
      </c>
      <c r="D34" s="51">
        <f t="shared" ca="1" si="23"/>
        <v>16155</v>
      </c>
      <c r="E34" s="51">
        <f t="shared" ca="1" si="23"/>
        <v>14761</v>
      </c>
      <c r="F34" s="51">
        <f ca="1">SUM(F28:F32)</f>
        <v>14763</v>
      </c>
      <c r="G34" s="51">
        <f t="shared" ref="G34:R34" ca="1" si="24">SUM(G28:G32)</f>
        <v>14493</v>
      </c>
      <c r="H34" s="51">
        <f t="shared" ca="1" si="24"/>
        <v>14759</v>
      </c>
      <c r="I34" s="51">
        <f t="shared" ca="1" si="24"/>
        <v>15087</v>
      </c>
      <c r="J34" s="51">
        <f t="shared" ca="1" si="24"/>
        <v>17454</v>
      </c>
      <c r="K34" s="51">
        <f t="shared" ca="1" si="24"/>
        <v>15764</v>
      </c>
      <c r="L34" s="51">
        <f t="shared" ca="1" si="24"/>
        <v>15575</v>
      </c>
      <c r="M34" s="51">
        <f t="shared" ca="1" si="24"/>
        <v>13403</v>
      </c>
      <c r="N34" s="51">
        <f t="shared" ca="1" si="24"/>
        <v>14719</v>
      </c>
      <c r="O34" s="51">
        <f t="shared" ca="1" si="24"/>
        <v>15917</v>
      </c>
      <c r="P34" s="51">
        <f t="shared" ca="1" si="24"/>
        <v>13886</v>
      </c>
      <c r="Q34" s="51">
        <f t="shared" ca="1" si="24"/>
        <v>15767</v>
      </c>
      <c r="R34" s="51">
        <f t="shared" ca="1" si="24"/>
        <v>15115.133333333333</v>
      </c>
      <c r="S34" s="51">
        <f>SUM(Actual[[#This Row],[Oct-25]:[Dec-26]])</f>
        <v>99528</v>
      </c>
    </row>
    <row r="35" spans="1:19" ht="16.2" thickBot="1" x14ac:dyDescent="0.35">
      <c r="B35" s="1"/>
      <c r="C35" s="1"/>
      <c r="D35" s="1"/>
      <c r="E35" s="1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3"/>
      <c r="S35" s="13"/>
    </row>
    <row r="36" spans="1:19" ht="16.2" thickBot="1" x14ac:dyDescent="0.35">
      <c r="A36" s="11" t="s">
        <v>137</v>
      </c>
      <c r="B36" s="16" t="s">
        <v>142</v>
      </c>
      <c r="C36" s="52">
        <f t="shared" ref="C36:E36" ca="1" si="25">C24+C34</f>
        <v>105995</v>
      </c>
      <c r="D36" s="52">
        <f t="shared" ca="1" si="25"/>
        <v>107581</v>
      </c>
      <c r="E36" s="52">
        <f t="shared" ca="1" si="25"/>
        <v>107129</v>
      </c>
      <c r="F36" s="52">
        <f ca="1">F24+F34</f>
        <v>107542</v>
      </c>
      <c r="G36" s="52">
        <f t="shared" ref="G36:R36" ca="1" si="26">G24+G34</f>
        <v>107108</v>
      </c>
      <c r="H36" s="52">
        <f t="shared" ca="1" si="26"/>
        <v>105002</v>
      </c>
      <c r="I36" s="52">
        <f t="shared" ca="1" si="26"/>
        <v>106597</v>
      </c>
      <c r="J36" s="52">
        <f t="shared" ca="1" si="26"/>
        <v>108323</v>
      </c>
      <c r="K36" s="52">
        <f t="shared" ca="1" si="26"/>
        <v>106443</v>
      </c>
      <c r="L36" s="52">
        <f t="shared" ca="1" si="26"/>
        <v>113060</v>
      </c>
      <c r="M36" s="52">
        <f t="shared" ca="1" si="26"/>
        <v>107466</v>
      </c>
      <c r="N36" s="52">
        <f t="shared" ca="1" si="26"/>
        <v>109559</v>
      </c>
      <c r="O36" s="52">
        <f t="shared" ca="1" si="26"/>
        <v>112165</v>
      </c>
      <c r="P36" s="52">
        <f t="shared" ca="1" si="26"/>
        <v>109560</v>
      </c>
      <c r="Q36" s="52">
        <f t="shared" ca="1" si="26"/>
        <v>110384</v>
      </c>
      <c r="R36" s="52">
        <f t="shared" ca="1" si="26"/>
        <v>108260.93333333333</v>
      </c>
      <c r="S36" s="52">
        <f ca="1">SUM(Budget[[#This Row],[Oct-25]:[Dec-26]])</f>
        <v>1623914</v>
      </c>
    </row>
    <row r="37" spans="1:19" ht="16.2" thickBot="1" x14ac:dyDescent="0.35">
      <c r="B37" s="1"/>
      <c r="C37" s="1"/>
      <c r="D37" s="1"/>
      <c r="E37" s="1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3"/>
      <c r="S37" s="13"/>
    </row>
    <row r="38" spans="1:19" ht="16.2" thickBot="1" x14ac:dyDescent="0.35">
      <c r="A38" s="11" t="s">
        <v>138</v>
      </c>
      <c r="B38" s="16" t="s">
        <v>141</v>
      </c>
      <c r="C38" s="52">
        <f t="shared" ref="C38:E38" ca="1" si="27">C12-C36</f>
        <v>55462</v>
      </c>
      <c r="D38" s="52">
        <f t="shared" ca="1" si="27"/>
        <v>56478</v>
      </c>
      <c r="E38" s="52">
        <f t="shared" ca="1" si="27"/>
        <v>53984</v>
      </c>
      <c r="F38" s="52">
        <f ca="1">F12-F36</f>
        <v>55987</v>
      </c>
      <c r="G38" s="52">
        <f t="shared" ref="G38:R38" ca="1" si="28">G12-G36</f>
        <v>55861</v>
      </c>
      <c r="H38" s="52">
        <f t="shared" ca="1" si="28"/>
        <v>57242</v>
      </c>
      <c r="I38" s="52">
        <f t="shared" ca="1" si="28"/>
        <v>58071</v>
      </c>
      <c r="J38" s="52">
        <f t="shared" ca="1" si="28"/>
        <v>55456</v>
      </c>
      <c r="K38" s="52">
        <f t="shared" ca="1" si="28"/>
        <v>57011</v>
      </c>
      <c r="L38" s="52">
        <f t="shared" ca="1" si="28"/>
        <v>57132</v>
      </c>
      <c r="M38" s="52">
        <f t="shared" ca="1" si="28"/>
        <v>64163</v>
      </c>
      <c r="N38" s="52">
        <f t="shared" ca="1" si="28"/>
        <v>61531</v>
      </c>
      <c r="O38" s="52">
        <f t="shared" ca="1" si="28"/>
        <v>62260</v>
      </c>
      <c r="P38" s="52">
        <f t="shared" ca="1" si="28"/>
        <v>62353</v>
      </c>
      <c r="Q38" s="52">
        <f t="shared" ca="1" si="28"/>
        <v>59725</v>
      </c>
      <c r="R38" s="52">
        <f t="shared" ca="1" si="28"/>
        <v>58181.066666666666</v>
      </c>
      <c r="S38" s="52">
        <f ca="1">SUM(Budget[[#This Row],[Oct-25]:[Dec-26]])</f>
        <v>872716</v>
      </c>
    </row>
    <row r="39" spans="1:19" x14ac:dyDescent="0.3">
      <c r="B39" s="2"/>
      <c r="C39" s="2"/>
      <c r="D39" s="2"/>
      <c r="E39" s="2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</row>
    <row r="40" spans="1:19" x14ac:dyDescent="0.3">
      <c r="B40" s="18" t="s">
        <v>217</v>
      </c>
      <c r="C40" s="18"/>
      <c r="D40" s="18"/>
      <c r="E40" s="18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3"/>
      <c r="S40" s="13"/>
    </row>
    <row r="41" spans="1:19" ht="4.8" customHeight="1" x14ac:dyDescent="0.3">
      <c r="B41" s="20"/>
      <c r="C41" s="20"/>
      <c r="D41" s="20"/>
      <c r="E41" s="20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13"/>
      <c r="S41" s="13"/>
    </row>
    <row r="42" spans="1:19" x14ac:dyDescent="0.3">
      <c r="B42" s="28" t="s">
        <v>75</v>
      </c>
      <c r="C42" s="49">
        <v>10000</v>
      </c>
      <c r="D42" s="49">
        <v>15000</v>
      </c>
      <c r="E42" s="49">
        <v>12000</v>
      </c>
      <c r="F42" s="49">
        <v>20000</v>
      </c>
      <c r="G42" s="49">
        <v>15000</v>
      </c>
      <c r="H42" s="49">
        <v>15000</v>
      </c>
      <c r="I42" s="49">
        <v>15000</v>
      </c>
      <c r="J42" s="49">
        <v>15000</v>
      </c>
      <c r="K42" s="49">
        <v>17000</v>
      </c>
      <c r="L42" s="49">
        <v>21000</v>
      </c>
      <c r="M42" s="49">
        <v>18000</v>
      </c>
      <c r="N42" s="49">
        <v>20000</v>
      </c>
      <c r="O42" s="49">
        <v>16000</v>
      </c>
      <c r="P42" s="49">
        <v>18000</v>
      </c>
      <c r="Q42" s="49">
        <v>22000</v>
      </c>
      <c r="R42" s="49">
        <f>AVERAGE(Budget[[#This Row],[Oct-25]:[Dec-26]])</f>
        <v>16600</v>
      </c>
      <c r="S42" s="49">
        <f>SUM(Budget[[#This Row],[Oct-25]:[Dec-26]])</f>
        <v>249000</v>
      </c>
    </row>
    <row r="43" spans="1:19" x14ac:dyDescent="0.3">
      <c r="B43" s="28" t="s">
        <v>219</v>
      </c>
      <c r="C43" s="49">
        <v>3000</v>
      </c>
      <c r="D43" s="49">
        <v>3000</v>
      </c>
      <c r="E43" s="49">
        <v>3000</v>
      </c>
      <c r="F43" s="49">
        <v>3000</v>
      </c>
      <c r="G43" s="49">
        <v>3000</v>
      </c>
      <c r="H43" s="49">
        <v>3000</v>
      </c>
      <c r="I43" s="49">
        <v>3000</v>
      </c>
      <c r="J43" s="49">
        <v>3000</v>
      </c>
      <c r="K43" s="49">
        <v>3000</v>
      </c>
      <c r="L43" s="49">
        <v>3000</v>
      </c>
      <c r="M43" s="49">
        <v>3000</v>
      </c>
      <c r="N43" s="49">
        <v>3000</v>
      </c>
      <c r="O43" s="49">
        <v>3000</v>
      </c>
      <c r="P43" s="49">
        <v>3000</v>
      </c>
      <c r="Q43" s="49">
        <v>3000</v>
      </c>
      <c r="R43" s="49">
        <f>AVERAGE(Budget[[#This Row],[Oct-25]:[Dec-26]])</f>
        <v>3000</v>
      </c>
      <c r="S43" s="49">
        <f>SUM(Budget[[#This Row],[Oct-25]:[Dec-26]])</f>
        <v>45000</v>
      </c>
    </row>
    <row r="44" spans="1:19" x14ac:dyDescent="0.3">
      <c r="B44" s="28" t="s">
        <v>78</v>
      </c>
      <c r="C44" s="49">
        <v>0</v>
      </c>
      <c r="D44" s="49">
        <v>0</v>
      </c>
      <c r="E44" s="49">
        <v>0</v>
      </c>
      <c r="F44" s="49">
        <v>0</v>
      </c>
      <c r="G44" s="49">
        <v>0</v>
      </c>
      <c r="H44" s="49">
        <v>0</v>
      </c>
      <c r="I44" s="49">
        <v>0</v>
      </c>
      <c r="J44" s="49">
        <v>0</v>
      </c>
      <c r="K44" s="49">
        <v>0</v>
      </c>
      <c r="L44" s="49">
        <v>0</v>
      </c>
      <c r="M44" s="49">
        <v>0</v>
      </c>
      <c r="N44" s="49">
        <v>0</v>
      </c>
      <c r="O44" s="49">
        <v>0</v>
      </c>
      <c r="P44" s="49">
        <v>0</v>
      </c>
      <c r="Q44" s="49">
        <v>0</v>
      </c>
      <c r="R44" s="49">
        <f>AVERAGE(Budget[[#This Row],[Oct-25]:[Dec-26]])</f>
        <v>0</v>
      </c>
      <c r="S44" s="49">
        <f>SUM(Budget[[#This Row],[Oct-25]:[Dec-26]])</f>
        <v>0</v>
      </c>
    </row>
    <row r="45" spans="1:19" x14ac:dyDescent="0.3">
      <c r="B45" s="28" t="s">
        <v>80</v>
      </c>
      <c r="C45" s="49">
        <v>10000</v>
      </c>
      <c r="D45" s="49">
        <v>10000</v>
      </c>
      <c r="E45" s="49">
        <v>10000</v>
      </c>
      <c r="F45" s="49">
        <v>10000</v>
      </c>
      <c r="G45" s="49">
        <v>10000</v>
      </c>
      <c r="H45" s="49">
        <v>10000</v>
      </c>
      <c r="I45" s="49">
        <v>10000</v>
      </c>
      <c r="J45" s="49">
        <v>10000</v>
      </c>
      <c r="K45" s="49">
        <v>10000</v>
      </c>
      <c r="L45" s="49">
        <v>10000</v>
      </c>
      <c r="M45" s="49">
        <v>10000</v>
      </c>
      <c r="N45" s="49">
        <v>10000</v>
      </c>
      <c r="O45" s="49">
        <v>10000</v>
      </c>
      <c r="P45" s="49">
        <v>10000</v>
      </c>
      <c r="Q45" s="49">
        <v>10000</v>
      </c>
      <c r="R45" s="49">
        <f>AVERAGE(Budget[[#This Row],[Oct-25]:[Dec-26]])</f>
        <v>10000</v>
      </c>
      <c r="S45" s="49">
        <f>SUM(Budget[[#This Row],[Oct-25]:[Dec-26]])</f>
        <v>150000</v>
      </c>
    </row>
    <row r="46" spans="1:19" x14ac:dyDescent="0.3">
      <c r="B46" s="28" t="s">
        <v>82</v>
      </c>
      <c r="C46" s="49">
        <v>25000</v>
      </c>
      <c r="D46" s="49">
        <v>25000</v>
      </c>
      <c r="E46" s="49">
        <v>25000</v>
      </c>
      <c r="F46" s="49">
        <v>25000</v>
      </c>
      <c r="G46" s="49">
        <v>25000</v>
      </c>
      <c r="H46" s="49">
        <v>25000</v>
      </c>
      <c r="I46" s="49">
        <v>25000</v>
      </c>
      <c r="J46" s="49">
        <v>25000</v>
      </c>
      <c r="K46" s="49">
        <v>25000</v>
      </c>
      <c r="L46" s="49">
        <v>25000</v>
      </c>
      <c r="M46" s="49">
        <v>25000</v>
      </c>
      <c r="N46" s="49">
        <v>25000</v>
      </c>
      <c r="O46" s="49">
        <v>25000</v>
      </c>
      <c r="P46" s="49">
        <v>25000</v>
      </c>
      <c r="Q46" s="49">
        <v>25000</v>
      </c>
      <c r="R46" s="49">
        <f>AVERAGE(Budget[[#This Row],[Oct-25]:[Dec-26]])</f>
        <v>25000</v>
      </c>
      <c r="S46" s="49">
        <f>SUM(Budget[[#This Row],[Oct-25]:[Dec-26]])</f>
        <v>375000</v>
      </c>
    </row>
    <row r="47" spans="1:19" x14ac:dyDescent="0.3">
      <c r="B47" s="28" t="s">
        <v>83</v>
      </c>
      <c r="C47" s="49">
        <v>0</v>
      </c>
      <c r="D47" s="49">
        <v>0</v>
      </c>
      <c r="E47" s="49">
        <v>0</v>
      </c>
      <c r="F47" s="49">
        <v>0</v>
      </c>
      <c r="G47" s="49">
        <v>0</v>
      </c>
      <c r="H47" s="49">
        <v>0</v>
      </c>
      <c r="I47" s="49">
        <v>0</v>
      </c>
      <c r="J47" s="49">
        <v>0</v>
      </c>
      <c r="K47" s="49">
        <v>0</v>
      </c>
      <c r="L47" s="49">
        <v>0</v>
      </c>
      <c r="M47" s="49">
        <v>0</v>
      </c>
      <c r="N47" s="49">
        <v>0</v>
      </c>
      <c r="O47" s="49">
        <v>0</v>
      </c>
      <c r="P47" s="49"/>
      <c r="Q47" s="49">
        <v>0</v>
      </c>
      <c r="R47" s="49">
        <f>AVERAGE(Budget[[#This Row],[Oct-25]:[Dec-26]])</f>
        <v>0</v>
      </c>
      <c r="S47" s="49">
        <f>SUM(Budget[[#This Row],[Oct-25]:[Dec-26]])</f>
        <v>0</v>
      </c>
    </row>
    <row r="48" spans="1:19" x14ac:dyDescent="0.3">
      <c r="B48" s="28" t="s">
        <v>84</v>
      </c>
      <c r="C48" s="49">
        <v>5000</v>
      </c>
      <c r="D48" s="49">
        <v>5000</v>
      </c>
      <c r="E48" s="49">
        <v>5000</v>
      </c>
      <c r="F48" s="49">
        <v>5000</v>
      </c>
      <c r="G48" s="49">
        <v>5000</v>
      </c>
      <c r="H48" s="49">
        <v>5000</v>
      </c>
      <c r="I48" s="49">
        <v>5000</v>
      </c>
      <c r="J48" s="49">
        <v>5000</v>
      </c>
      <c r="K48" s="49">
        <v>5000</v>
      </c>
      <c r="L48" s="49">
        <v>5000</v>
      </c>
      <c r="M48" s="49">
        <v>5000</v>
      </c>
      <c r="N48" s="49">
        <v>5000</v>
      </c>
      <c r="O48" s="49">
        <v>5000</v>
      </c>
      <c r="P48" s="49">
        <v>5000</v>
      </c>
      <c r="Q48" s="49">
        <v>5000</v>
      </c>
      <c r="R48" s="49">
        <f>AVERAGE(Budget[[#This Row],[Oct-25]:[Dec-26]])</f>
        <v>5000</v>
      </c>
      <c r="S48" s="49">
        <f>SUM(Budget[[#This Row],[Oct-25]:[Dec-26]])</f>
        <v>75000</v>
      </c>
    </row>
    <row r="49" spans="1:19" x14ac:dyDescent="0.3">
      <c r="B49" s="28" t="s">
        <v>87</v>
      </c>
      <c r="C49" s="49">
        <v>0</v>
      </c>
      <c r="D49" s="49">
        <v>0</v>
      </c>
      <c r="E49" s="49">
        <v>0</v>
      </c>
      <c r="F49" s="49">
        <v>0</v>
      </c>
      <c r="G49" s="49">
        <v>0</v>
      </c>
      <c r="H49" s="49">
        <v>0</v>
      </c>
      <c r="I49" s="49"/>
      <c r="J49" s="49">
        <v>0</v>
      </c>
      <c r="K49" s="49"/>
      <c r="L49" s="49">
        <v>0</v>
      </c>
      <c r="M49" s="49">
        <v>0</v>
      </c>
      <c r="N49" s="49">
        <v>0</v>
      </c>
      <c r="O49" s="49">
        <v>0</v>
      </c>
      <c r="P49" s="49">
        <v>0</v>
      </c>
      <c r="Q49" s="49">
        <v>0</v>
      </c>
      <c r="R49" s="49">
        <f>AVERAGE(Budget[[#This Row],[Oct-25]:[Dec-26]])</f>
        <v>0</v>
      </c>
      <c r="S49" s="49">
        <f>SUM(Budget[[#This Row],[Oct-25]:[Dec-26]])</f>
        <v>0</v>
      </c>
    </row>
    <row r="50" spans="1:19" x14ac:dyDescent="0.3">
      <c r="B50" s="28" t="s">
        <v>92</v>
      </c>
      <c r="C50" s="49">
        <v>0</v>
      </c>
      <c r="D50" s="49">
        <v>0</v>
      </c>
      <c r="E50" s="49">
        <v>0</v>
      </c>
      <c r="F50" s="49">
        <v>0</v>
      </c>
      <c r="G50" s="49">
        <v>0</v>
      </c>
      <c r="H50" s="49">
        <v>0</v>
      </c>
      <c r="I50" s="49">
        <v>0</v>
      </c>
      <c r="J50" s="49">
        <v>0</v>
      </c>
      <c r="K50" s="49">
        <v>0</v>
      </c>
      <c r="L50" s="49">
        <v>0</v>
      </c>
      <c r="M50" s="49">
        <v>0</v>
      </c>
      <c r="N50" s="49">
        <v>0</v>
      </c>
      <c r="O50" s="49">
        <v>0</v>
      </c>
      <c r="P50" s="49">
        <v>0</v>
      </c>
      <c r="Q50" s="49">
        <v>0</v>
      </c>
      <c r="R50" s="49">
        <f>AVERAGE(Budget[[#This Row],[Oct-25]:[Dec-26]])</f>
        <v>0</v>
      </c>
      <c r="S50" s="49">
        <f>SUM(Budget[[#This Row],[Oct-25]:[Dec-26]])</f>
        <v>0</v>
      </c>
    </row>
    <row r="51" spans="1:19" ht="4.2" customHeight="1" thickBot="1" x14ac:dyDescent="0.35">
      <c r="B51" s="5"/>
      <c r="C51" s="5"/>
      <c r="D51" s="5"/>
      <c r="E51" s="5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>
        <f>SUM(Actual[[#This Row],[Oct-25]:[Dec-26]])</f>
        <v>0</v>
      </c>
    </row>
    <row r="52" spans="1:19" ht="16.2" thickBot="1" x14ac:dyDescent="0.35">
      <c r="A52" s="11" t="s">
        <v>139</v>
      </c>
      <c r="B52" s="22" t="s">
        <v>133</v>
      </c>
      <c r="C52" s="52">
        <f>SUM(C42:C50)</f>
        <v>53000</v>
      </c>
      <c r="D52" s="52">
        <f>SUM(D42:D50)</f>
        <v>58000</v>
      </c>
      <c r="E52" s="52">
        <f t="shared" ref="E52:R52" si="29">SUM(E42:E50)</f>
        <v>55000</v>
      </c>
      <c r="F52" s="52">
        <f t="shared" si="29"/>
        <v>63000</v>
      </c>
      <c r="G52" s="52">
        <f t="shared" si="29"/>
        <v>58000</v>
      </c>
      <c r="H52" s="52">
        <f t="shared" si="29"/>
        <v>58000</v>
      </c>
      <c r="I52" s="52">
        <f t="shared" si="29"/>
        <v>58000</v>
      </c>
      <c r="J52" s="52">
        <f t="shared" si="29"/>
        <v>58000</v>
      </c>
      <c r="K52" s="52">
        <f t="shared" si="29"/>
        <v>60000</v>
      </c>
      <c r="L52" s="52">
        <f t="shared" si="29"/>
        <v>64000</v>
      </c>
      <c r="M52" s="52">
        <f t="shared" si="29"/>
        <v>61000</v>
      </c>
      <c r="N52" s="52">
        <f t="shared" si="29"/>
        <v>63000</v>
      </c>
      <c r="O52" s="52">
        <f t="shared" si="29"/>
        <v>59000</v>
      </c>
      <c r="P52" s="52">
        <f t="shared" si="29"/>
        <v>61000</v>
      </c>
      <c r="Q52" s="52">
        <f t="shared" si="29"/>
        <v>65000</v>
      </c>
      <c r="R52" s="52">
        <f t="shared" si="29"/>
        <v>59600</v>
      </c>
      <c r="S52" s="52">
        <f>SUM(Budget[[#This Row],[Oct-25]:[Dec-26]])</f>
        <v>894000</v>
      </c>
    </row>
    <row r="53" spans="1:19" ht="5.4" customHeight="1" thickBot="1" x14ac:dyDescent="0.35">
      <c r="B53" s="5"/>
      <c r="C53" s="48"/>
      <c r="D53" s="48"/>
      <c r="E53" s="48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>
        <f>SUM(Actual[[#This Row],[Oct-25]:[Dec-26]])</f>
        <v>0</v>
      </c>
    </row>
    <row r="54" spans="1:19" ht="16.2" thickBot="1" x14ac:dyDescent="0.35">
      <c r="A54" s="11" t="s">
        <v>138</v>
      </c>
      <c r="B54" s="22" t="s">
        <v>157</v>
      </c>
      <c r="C54" s="52">
        <f ca="1">C38-C52</f>
        <v>2462</v>
      </c>
      <c r="D54" s="52">
        <f t="shared" ref="D54:R54" ca="1" si="30">D38-D52</f>
        <v>-1522</v>
      </c>
      <c r="E54" s="52">
        <f t="shared" ca="1" si="30"/>
        <v>-1016</v>
      </c>
      <c r="F54" s="52">
        <f t="shared" ca="1" si="30"/>
        <v>-7013</v>
      </c>
      <c r="G54" s="52">
        <f t="shared" ca="1" si="30"/>
        <v>-2139</v>
      </c>
      <c r="H54" s="52">
        <f t="shared" ca="1" si="30"/>
        <v>-758</v>
      </c>
      <c r="I54" s="52">
        <f t="shared" ca="1" si="30"/>
        <v>71</v>
      </c>
      <c r="J54" s="52">
        <f t="shared" ca="1" si="30"/>
        <v>-2544</v>
      </c>
      <c r="K54" s="52">
        <f t="shared" ca="1" si="30"/>
        <v>-2989</v>
      </c>
      <c r="L54" s="52">
        <f t="shared" ca="1" si="30"/>
        <v>-6868</v>
      </c>
      <c r="M54" s="52">
        <f t="shared" ca="1" si="30"/>
        <v>3163</v>
      </c>
      <c r="N54" s="52">
        <f t="shared" ca="1" si="30"/>
        <v>-1469</v>
      </c>
      <c r="O54" s="52">
        <f t="shared" ca="1" si="30"/>
        <v>3260</v>
      </c>
      <c r="P54" s="52">
        <f t="shared" ca="1" si="30"/>
        <v>1353</v>
      </c>
      <c r="Q54" s="52">
        <f t="shared" ca="1" si="30"/>
        <v>-5275</v>
      </c>
      <c r="R54" s="52">
        <f t="shared" ca="1" si="30"/>
        <v>-1418.9333333333343</v>
      </c>
      <c r="S54" s="52">
        <f ca="1">SUM(Budget[[#This Row],[Oct-25]:[Dec-26]])</f>
        <v>-21284</v>
      </c>
    </row>
  </sheetData>
  <mergeCells count="1">
    <mergeCell ref="B2:S2"/>
  </mergeCells>
  <phoneticPr fontId="4" type="noConversion"/>
  <printOptions horizontalCentered="1" verticalCentered="1"/>
  <pageMargins left="0.39370078740157483" right="0.39370078740157483" top="0.39370078740157483" bottom="0.39370078740157483" header="0.39370078740157483" footer="0.39370078740157483"/>
  <pageSetup paperSize="9" scale="60" fitToHeight="0" orientation="landscape" r:id="rId1"/>
  <ignoredErrors>
    <ignoredError sqref="R23 R6:R12 R16:R22 R33 R28:R32 R34:R35 R24:R27 R36:R41 R51 R42:R50 R52:R54 S6:S54" calculatedColumn="1"/>
  </ignoredError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BDC43-F0B9-49A3-9EB9-E79A11E91738}">
  <sheetPr codeName="Sheet2">
    <tabColor theme="4"/>
    <pageSetUpPr fitToPage="1"/>
  </sheetPr>
  <dimension ref="A2:N43"/>
  <sheetViews>
    <sheetView showGridLines="0" topLeftCell="A32" workbookViewId="0">
      <selection activeCell="M11" sqref="M11"/>
    </sheetView>
  </sheetViews>
  <sheetFormatPr defaultRowHeight="14.4" x14ac:dyDescent="0.3"/>
  <cols>
    <col min="1" max="1" width="3" customWidth="1"/>
    <col min="2" max="2" width="23.5546875" bestFit="1" customWidth="1"/>
    <col min="3" max="3" width="23.77734375" customWidth="1"/>
    <col min="4" max="4" width="26.6640625" bestFit="1" customWidth="1"/>
    <col min="5" max="5" width="24" bestFit="1" customWidth="1"/>
    <col min="6" max="6" width="23.77734375" bestFit="1" customWidth="1"/>
    <col min="7" max="7" width="10.44140625" customWidth="1"/>
    <col min="8" max="8" width="13.44140625" customWidth="1"/>
    <col min="9" max="9" width="14.33203125" customWidth="1"/>
  </cols>
  <sheetData>
    <row r="2" spans="1:14" ht="24.6" customHeight="1" x14ac:dyDescent="0.3">
      <c r="B2" s="109" t="s">
        <v>174</v>
      </c>
      <c r="C2" s="109"/>
      <c r="D2" s="109"/>
      <c r="E2" s="109"/>
      <c r="F2" s="109"/>
      <c r="G2" s="109"/>
      <c r="H2" s="109"/>
      <c r="I2" s="109"/>
      <c r="J2" s="39"/>
      <c r="K2" s="39"/>
      <c r="L2" s="39"/>
      <c r="M2" s="39"/>
      <c r="N2" s="39"/>
    </row>
    <row r="3" spans="1:14" ht="6" customHeight="1" x14ac:dyDescent="0.3"/>
    <row r="4" spans="1:14" s="7" customFormat="1" ht="15.6" x14ac:dyDescent="0.3">
      <c r="A4"/>
      <c r="B4" s="31" t="s">
        <v>3</v>
      </c>
      <c r="C4" s="32" t="s">
        <v>100</v>
      </c>
      <c r="D4" s="32" t="s">
        <v>101</v>
      </c>
      <c r="E4" s="32" t="s">
        <v>102</v>
      </c>
      <c r="F4" s="32" t="s">
        <v>103</v>
      </c>
      <c r="G4" s="6"/>
      <c r="H4" s="6"/>
      <c r="I4" s="6"/>
      <c r="J4" s="6"/>
      <c r="K4" s="6"/>
      <c r="L4" s="6"/>
      <c r="M4" s="6"/>
      <c r="N4" s="6"/>
    </row>
    <row r="5" spans="1:14" s="7" customFormat="1" ht="15.6" x14ac:dyDescent="0.3">
      <c r="A5"/>
      <c r="B5" s="36" t="s">
        <v>0</v>
      </c>
      <c r="C5" s="37" t="s">
        <v>104</v>
      </c>
      <c r="D5" s="37"/>
      <c r="E5" s="37"/>
      <c r="F5" s="37"/>
    </row>
    <row r="6" spans="1:14" s="7" customFormat="1" ht="31.2" x14ac:dyDescent="0.3">
      <c r="A6"/>
      <c r="B6" s="34" t="s">
        <v>4</v>
      </c>
      <c r="C6" s="30" t="s">
        <v>5</v>
      </c>
      <c r="D6" s="30" t="s">
        <v>6</v>
      </c>
      <c r="E6" s="30" t="s">
        <v>7</v>
      </c>
      <c r="F6" s="30" t="s">
        <v>8</v>
      </c>
    </row>
    <row r="7" spans="1:14" s="7" customFormat="1" ht="31.2" x14ac:dyDescent="0.3">
      <c r="A7"/>
      <c r="B7" s="34" t="s">
        <v>9</v>
      </c>
      <c r="C7" s="30" t="s">
        <v>10</v>
      </c>
      <c r="D7" s="30" t="s">
        <v>11</v>
      </c>
      <c r="E7" s="30" t="s">
        <v>12</v>
      </c>
      <c r="F7" s="30" t="s">
        <v>13</v>
      </c>
    </row>
    <row r="8" spans="1:14" s="7" customFormat="1" ht="15.6" x14ac:dyDescent="0.3">
      <c r="A8"/>
      <c r="B8" s="34" t="s">
        <v>14</v>
      </c>
      <c r="C8" s="30" t="s">
        <v>15</v>
      </c>
      <c r="D8" s="30" t="s">
        <v>16</v>
      </c>
      <c r="E8" s="30"/>
      <c r="F8" s="30"/>
    </row>
    <row r="9" spans="1:14" s="7" customFormat="1" ht="15.6" x14ac:dyDescent="0.3">
      <c r="A9"/>
      <c r="B9" s="34" t="s">
        <v>17</v>
      </c>
      <c r="C9" s="30" t="s">
        <v>98</v>
      </c>
      <c r="D9" s="30" t="s">
        <v>105</v>
      </c>
      <c r="E9" s="30"/>
      <c r="F9" s="30"/>
    </row>
    <row r="10" spans="1:14" s="7" customFormat="1" ht="31.2" x14ac:dyDescent="0.3">
      <c r="A10"/>
      <c r="B10" s="34" t="s">
        <v>18</v>
      </c>
      <c r="C10" s="30" t="s">
        <v>99</v>
      </c>
      <c r="D10" s="30" t="s">
        <v>19</v>
      </c>
      <c r="E10" s="30" t="s">
        <v>20</v>
      </c>
      <c r="F10" s="30" t="s">
        <v>97</v>
      </c>
    </row>
    <row r="11" spans="1:14" s="7" customFormat="1" ht="15.6" x14ac:dyDescent="0.3">
      <c r="A11"/>
      <c r="B11" s="9"/>
      <c r="C11" s="8"/>
      <c r="D11" s="8"/>
      <c r="E11" s="8"/>
      <c r="F11" s="8"/>
    </row>
    <row r="12" spans="1:14" s="7" customFormat="1" ht="15.6" x14ac:dyDescent="0.3">
      <c r="A12"/>
      <c r="B12" s="9"/>
      <c r="C12" s="8" t="s">
        <v>21</v>
      </c>
      <c r="D12" s="8"/>
      <c r="E12" s="8"/>
      <c r="F12" s="8"/>
    </row>
    <row r="13" spans="1:14" s="7" customFormat="1" ht="15.6" x14ac:dyDescent="0.3">
      <c r="A13"/>
      <c r="B13" s="31" t="s">
        <v>22</v>
      </c>
      <c r="C13" s="32" t="s">
        <v>106</v>
      </c>
      <c r="D13" s="32" t="s">
        <v>107</v>
      </c>
      <c r="E13" s="32" t="s">
        <v>108</v>
      </c>
      <c r="F13" s="32" t="s">
        <v>109</v>
      </c>
      <c r="G13" s="31" t="s">
        <v>110</v>
      </c>
      <c r="H13" s="32" t="s">
        <v>111</v>
      </c>
      <c r="I13" s="32" t="s">
        <v>112</v>
      </c>
    </row>
    <row r="14" spans="1:14" s="7" customFormat="1" ht="31.2" x14ac:dyDescent="0.3">
      <c r="A14"/>
      <c r="B14" s="36" t="s">
        <v>1</v>
      </c>
      <c r="C14" s="37" t="s">
        <v>23</v>
      </c>
      <c r="D14" s="37" t="s">
        <v>24</v>
      </c>
      <c r="E14" s="37" t="s">
        <v>25</v>
      </c>
      <c r="F14" s="37"/>
      <c r="G14" s="38"/>
      <c r="H14" s="37"/>
      <c r="I14" s="37"/>
    </row>
    <row r="15" spans="1:14" s="7" customFormat="1" ht="31.2" x14ac:dyDescent="0.3">
      <c r="A15"/>
      <c r="B15" s="34" t="s">
        <v>26</v>
      </c>
      <c r="C15" s="30" t="s">
        <v>27</v>
      </c>
      <c r="D15" s="30" t="s">
        <v>28</v>
      </c>
      <c r="E15" s="30" t="s">
        <v>29</v>
      </c>
      <c r="F15" s="30" t="s">
        <v>30</v>
      </c>
      <c r="G15" s="33" t="s">
        <v>31</v>
      </c>
      <c r="H15" s="30" t="s">
        <v>38</v>
      </c>
      <c r="I15" s="30" t="s">
        <v>39</v>
      </c>
    </row>
    <row r="16" spans="1:14" s="7" customFormat="1" ht="15.6" x14ac:dyDescent="0.3">
      <c r="A16"/>
      <c r="B16" s="34" t="s">
        <v>32</v>
      </c>
      <c r="C16" s="30" t="s">
        <v>33</v>
      </c>
      <c r="D16" s="30" t="s">
        <v>34</v>
      </c>
      <c r="E16" s="30" t="s">
        <v>35</v>
      </c>
      <c r="F16" s="30" t="s">
        <v>36</v>
      </c>
      <c r="G16" s="33" t="s">
        <v>37</v>
      </c>
      <c r="H16" s="30"/>
      <c r="I16" s="30"/>
    </row>
    <row r="17" spans="1:9" s="7" customFormat="1" ht="28.8" x14ac:dyDescent="0.3">
      <c r="A17"/>
      <c r="B17" s="34" t="s">
        <v>40</v>
      </c>
      <c r="C17" s="30" t="s">
        <v>41</v>
      </c>
      <c r="D17" s="30" t="s">
        <v>42</v>
      </c>
      <c r="E17" s="30" t="s">
        <v>43</v>
      </c>
      <c r="F17" s="30" t="s">
        <v>44</v>
      </c>
      <c r="G17" s="33" t="s">
        <v>45</v>
      </c>
      <c r="H17" s="30"/>
      <c r="I17" s="30"/>
    </row>
    <row r="18" spans="1:9" s="7" customFormat="1" ht="31.2" x14ac:dyDescent="0.3">
      <c r="A18"/>
      <c r="B18" s="34" t="s">
        <v>46</v>
      </c>
      <c r="C18" s="30" t="s">
        <v>47</v>
      </c>
      <c r="D18" s="30" t="s">
        <v>48</v>
      </c>
      <c r="E18" s="30" t="s">
        <v>49</v>
      </c>
      <c r="F18" s="30"/>
      <c r="G18" s="33"/>
      <c r="H18" s="30"/>
      <c r="I18" s="30"/>
    </row>
    <row r="19" spans="1:9" s="7" customFormat="1" ht="31.2" x14ac:dyDescent="0.3">
      <c r="A19"/>
      <c r="B19" s="34" t="s">
        <v>50</v>
      </c>
      <c r="C19" s="30" t="s">
        <v>51</v>
      </c>
      <c r="D19" s="30" t="s">
        <v>52</v>
      </c>
      <c r="E19" s="30"/>
      <c r="F19" s="30"/>
      <c r="G19" s="33"/>
      <c r="H19" s="30"/>
      <c r="I19" s="30"/>
    </row>
    <row r="20" spans="1:9" s="7" customFormat="1" ht="15.6" x14ac:dyDescent="0.3">
      <c r="A20"/>
      <c r="B20" s="34" t="s">
        <v>53</v>
      </c>
      <c r="C20" s="30" t="s">
        <v>54</v>
      </c>
      <c r="D20" s="30" t="s">
        <v>53</v>
      </c>
      <c r="E20" s="30"/>
      <c r="F20" s="30"/>
      <c r="G20" s="33"/>
      <c r="H20" s="30"/>
      <c r="I20" s="30"/>
    </row>
    <row r="21" spans="1:9" s="7" customFormat="1" ht="15.6" x14ac:dyDescent="0.3">
      <c r="A21"/>
      <c r="B21" s="9"/>
      <c r="C21" s="8"/>
      <c r="D21" s="8"/>
      <c r="E21" s="8"/>
      <c r="F21" s="8"/>
      <c r="H21" s="8"/>
      <c r="I21" s="8"/>
    </row>
    <row r="22" spans="1:9" s="7" customFormat="1" ht="15.6" x14ac:dyDescent="0.3">
      <c r="A22"/>
      <c r="B22" s="9"/>
      <c r="C22" s="8"/>
      <c r="D22" s="8"/>
      <c r="E22" s="8"/>
      <c r="F22" s="8"/>
      <c r="H22" s="8"/>
      <c r="I22" s="8"/>
    </row>
    <row r="23" spans="1:9" s="7" customFormat="1" ht="15.6" x14ac:dyDescent="0.3">
      <c r="A23"/>
      <c r="B23" s="31" t="s">
        <v>55</v>
      </c>
      <c r="C23" s="32" t="s">
        <v>113</v>
      </c>
      <c r="D23" s="32" t="s">
        <v>114</v>
      </c>
      <c r="E23" s="32" t="s">
        <v>115</v>
      </c>
      <c r="F23" s="32" t="s">
        <v>116</v>
      </c>
    </row>
    <row r="24" spans="1:9" s="7" customFormat="1" ht="15.6" x14ac:dyDescent="0.3">
      <c r="A24"/>
      <c r="B24" s="36" t="s">
        <v>56</v>
      </c>
      <c r="C24" s="37" t="s">
        <v>57</v>
      </c>
      <c r="D24" s="37" t="s">
        <v>58</v>
      </c>
      <c r="E24" s="37" t="s">
        <v>59</v>
      </c>
      <c r="F24" s="37"/>
    </row>
    <row r="25" spans="1:9" s="7" customFormat="1" ht="15.6" x14ac:dyDescent="0.3">
      <c r="A25"/>
      <c r="B25" s="34" t="s">
        <v>60</v>
      </c>
      <c r="C25" s="30" t="s">
        <v>61</v>
      </c>
      <c r="D25" s="30" t="s">
        <v>62</v>
      </c>
      <c r="E25" s="30" t="s">
        <v>63</v>
      </c>
      <c r="F25" s="30" t="s">
        <v>64</v>
      </c>
    </row>
    <row r="26" spans="1:9" s="7" customFormat="1" ht="31.2" x14ac:dyDescent="0.3">
      <c r="A26"/>
      <c r="B26" s="34" t="s">
        <v>65</v>
      </c>
      <c r="C26" s="30" t="s">
        <v>66</v>
      </c>
      <c r="D26" s="30"/>
      <c r="E26" s="30"/>
      <c r="F26" s="30"/>
    </row>
    <row r="27" spans="1:9" s="7" customFormat="1" ht="31.2" x14ac:dyDescent="0.3">
      <c r="A27"/>
      <c r="B27" s="34" t="s">
        <v>67</v>
      </c>
      <c r="C27" s="30" t="s">
        <v>68</v>
      </c>
      <c r="D27" s="30" t="s">
        <v>69</v>
      </c>
      <c r="E27" s="30" t="s">
        <v>70</v>
      </c>
      <c r="F27" s="30"/>
    </row>
    <row r="28" spans="1:9" s="7" customFormat="1" ht="15.6" x14ac:dyDescent="0.3">
      <c r="A28"/>
      <c r="B28" s="34" t="s">
        <v>71</v>
      </c>
      <c r="C28" s="30" t="s">
        <v>72</v>
      </c>
      <c r="D28" s="30" t="s">
        <v>73</v>
      </c>
      <c r="E28" s="30"/>
      <c r="F28" s="30"/>
    </row>
    <row r="29" spans="1:9" s="7" customFormat="1" ht="15.6" x14ac:dyDescent="0.3">
      <c r="A29"/>
      <c r="B29" s="9"/>
      <c r="C29" s="8"/>
      <c r="D29" s="8"/>
      <c r="E29" s="8"/>
      <c r="F29" s="8"/>
    </row>
    <row r="30" spans="1:9" s="7" customFormat="1" ht="15.6" x14ac:dyDescent="0.3">
      <c r="A30"/>
      <c r="B30" s="9"/>
      <c r="C30" s="8"/>
      <c r="D30" s="8"/>
      <c r="E30" s="8"/>
      <c r="F30" s="8"/>
    </row>
    <row r="31" spans="1:9" s="7" customFormat="1" ht="15.6" x14ac:dyDescent="0.3">
      <c r="A31"/>
      <c r="B31" s="31" t="s">
        <v>74</v>
      </c>
      <c r="C31" s="32" t="s">
        <v>117</v>
      </c>
      <c r="D31" s="31" t="s">
        <v>118</v>
      </c>
      <c r="E31" s="32" t="s">
        <v>119</v>
      </c>
      <c r="F31" s="31" t="s">
        <v>120</v>
      </c>
    </row>
    <row r="32" spans="1:9" s="7" customFormat="1" ht="31.2" x14ac:dyDescent="0.3">
      <c r="A32"/>
      <c r="B32" s="36" t="s">
        <v>75</v>
      </c>
      <c r="C32" s="37" t="s">
        <v>121</v>
      </c>
      <c r="D32" s="37" t="s">
        <v>122</v>
      </c>
      <c r="E32" s="37" t="s">
        <v>123</v>
      </c>
      <c r="F32" s="37" t="s">
        <v>124</v>
      </c>
    </row>
    <row r="33" spans="1:6" s="7" customFormat="1" ht="31.2" x14ac:dyDescent="0.3">
      <c r="A33"/>
      <c r="B33" s="34" t="s">
        <v>76</v>
      </c>
      <c r="C33" s="30" t="s">
        <v>77</v>
      </c>
      <c r="D33" s="30"/>
      <c r="E33" s="30"/>
      <c r="F33" s="30"/>
    </row>
    <row r="34" spans="1:6" s="7" customFormat="1" ht="31.2" x14ac:dyDescent="0.3">
      <c r="A34"/>
      <c r="B34" s="34" t="s">
        <v>78</v>
      </c>
      <c r="C34" s="30" t="s">
        <v>79</v>
      </c>
      <c r="D34" s="30"/>
      <c r="E34" s="30"/>
      <c r="F34" s="30"/>
    </row>
    <row r="35" spans="1:6" s="7" customFormat="1" ht="15.6" x14ac:dyDescent="0.3">
      <c r="A35"/>
      <c r="B35" s="35" t="s">
        <v>80</v>
      </c>
      <c r="C35" s="30" t="s">
        <v>81</v>
      </c>
      <c r="D35" s="30"/>
      <c r="E35" s="30"/>
      <c r="F35" s="30"/>
    </row>
    <row r="36" spans="1:6" s="7" customFormat="1" ht="15.6" x14ac:dyDescent="0.3">
      <c r="A36"/>
      <c r="B36" s="34" t="s">
        <v>82</v>
      </c>
      <c r="C36" s="30" t="s">
        <v>125</v>
      </c>
      <c r="D36" s="30"/>
      <c r="E36" s="30"/>
      <c r="F36" s="30"/>
    </row>
    <row r="37" spans="1:6" s="7" customFormat="1" ht="15.6" x14ac:dyDescent="0.3">
      <c r="A37"/>
      <c r="B37" s="34" t="s">
        <v>83</v>
      </c>
      <c r="C37" s="30"/>
      <c r="D37" s="30"/>
      <c r="E37" s="30"/>
      <c r="F37" s="30"/>
    </row>
    <row r="38" spans="1:6" s="7" customFormat="1" ht="15.6" x14ac:dyDescent="0.3">
      <c r="A38"/>
      <c r="B38" s="34" t="s">
        <v>84</v>
      </c>
      <c r="C38" s="30" t="s">
        <v>85</v>
      </c>
      <c r="D38" s="30" t="s">
        <v>86</v>
      </c>
      <c r="E38" s="30"/>
      <c r="F38" s="30"/>
    </row>
    <row r="39" spans="1:6" s="7" customFormat="1" ht="15.6" x14ac:dyDescent="0.3">
      <c r="A39"/>
      <c r="B39" s="34" t="s">
        <v>87</v>
      </c>
      <c r="C39" s="30" t="s">
        <v>88</v>
      </c>
      <c r="D39" s="30" t="s">
        <v>89</v>
      </c>
      <c r="E39" s="30" t="s">
        <v>90</v>
      </c>
      <c r="F39" s="30" t="s">
        <v>91</v>
      </c>
    </row>
    <row r="40" spans="1:6" s="7" customFormat="1" ht="15.6" x14ac:dyDescent="0.3">
      <c r="A40"/>
      <c r="B40" s="34" t="s">
        <v>92</v>
      </c>
      <c r="C40" s="30" t="s">
        <v>93</v>
      </c>
      <c r="D40" s="30" t="s">
        <v>94</v>
      </c>
      <c r="E40" s="30" t="s">
        <v>95</v>
      </c>
      <c r="F40" s="30" t="s">
        <v>96</v>
      </c>
    </row>
    <row r="41" spans="1:6" ht="15.6" x14ac:dyDescent="0.3">
      <c r="B41" s="34" t="s">
        <v>39</v>
      </c>
      <c r="C41" s="26"/>
      <c r="D41" s="26"/>
      <c r="E41" s="26"/>
      <c r="F41" s="26"/>
    </row>
    <row r="42" spans="1:6" ht="15.6" x14ac:dyDescent="0.3">
      <c r="B42" s="2"/>
      <c r="C42" s="2"/>
      <c r="D42" s="2"/>
      <c r="E42" s="2"/>
      <c r="F42" s="2"/>
    </row>
    <row r="43" spans="1:6" ht="15.6" x14ac:dyDescent="0.3">
      <c r="B43" s="2"/>
      <c r="C43" s="2"/>
      <c r="D43" s="2"/>
      <c r="E43" s="2"/>
      <c r="F43" s="2"/>
    </row>
  </sheetData>
  <mergeCells count="1">
    <mergeCell ref="B2:I2"/>
  </mergeCells>
  <phoneticPr fontId="4" type="noConversion"/>
  <printOptions horizontalCentered="1"/>
  <pageMargins left="0.39370078740157483" right="0.39370078740157483" top="0.98425196850393704" bottom="0.39370078740157483" header="0.39370078740157483" footer="0.39370078740157483"/>
  <pageSetup paperSize="9" scale="58" orientation="portrait" r:id="rId1"/>
  <tableParts count="4">
    <tablePart r:id="rId2"/>
    <tablePart r:id="rId3"/>
    <tablePart r:id="rId4"/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6203C-D9DD-42C9-9B88-542B7E411A64}">
  <sheetPr codeName="DATA">
    <tabColor rgb="FFFF0000"/>
    <pageSetUpPr fitToPage="1"/>
  </sheetPr>
  <dimension ref="A2:Q48"/>
  <sheetViews>
    <sheetView showGridLines="0" view="pageBreakPreview" zoomScale="60" zoomScaleNormal="85" workbookViewId="0">
      <selection activeCell="V14" sqref="V14"/>
    </sheetView>
  </sheetViews>
  <sheetFormatPr defaultRowHeight="14.4" x14ac:dyDescent="0.3"/>
  <cols>
    <col min="1" max="1" width="2.44140625" customWidth="1"/>
    <col min="2" max="2" width="34.5546875" customWidth="1"/>
    <col min="3" max="17" width="10.77734375" customWidth="1"/>
    <col min="19" max="19" width="6.6640625" customWidth="1"/>
    <col min="20" max="20" width="6" customWidth="1"/>
    <col min="21" max="21" width="11.109375" customWidth="1"/>
    <col min="22" max="22" width="5.5546875" customWidth="1"/>
  </cols>
  <sheetData>
    <row r="2" spans="1:17" ht="30.6" customHeight="1" x14ac:dyDescent="0.3">
      <c r="B2" s="111" t="s">
        <v>256</v>
      </c>
      <c r="C2" s="111"/>
      <c r="D2" s="111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1"/>
    </row>
    <row r="4" spans="1:17" ht="15.6" x14ac:dyDescent="0.3">
      <c r="A4" s="11" t="s">
        <v>140</v>
      </c>
      <c r="B4" s="1" t="s">
        <v>126</v>
      </c>
      <c r="C4" s="42">
        <v>45931</v>
      </c>
      <c r="D4" s="42">
        <v>45962</v>
      </c>
      <c r="E4" s="42">
        <v>45992</v>
      </c>
      <c r="F4" s="43" t="s">
        <v>144</v>
      </c>
      <c r="G4" s="43" t="s">
        <v>145</v>
      </c>
      <c r="H4" s="43" t="s">
        <v>146</v>
      </c>
      <c r="I4" s="43" t="s">
        <v>147</v>
      </c>
      <c r="J4" s="43" t="s">
        <v>148</v>
      </c>
      <c r="K4" s="43" t="s">
        <v>149</v>
      </c>
      <c r="L4" s="43" t="s">
        <v>150</v>
      </c>
      <c r="M4" s="43" t="s">
        <v>151</v>
      </c>
      <c r="N4" s="43" t="s">
        <v>152</v>
      </c>
      <c r="O4" s="43" t="s">
        <v>153</v>
      </c>
      <c r="P4" s="43" t="s">
        <v>154</v>
      </c>
      <c r="Q4" s="43" t="s">
        <v>155</v>
      </c>
    </row>
    <row r="5" spans="1:17" ht="15.6" x14ac:dyDescent="0.3">
      <c r="A5" s="11"/>
      <c r="B5" s="2" t="s">
        <v>0</v>
      </c>
      <c r="C5" s="44">
        <v>127000</v>
      </c>
      <c r="D5" s="44">
        <v>120000</v>
      </c>
      <c r="E5" s="44">
        <v>120000</v>
      </c>
      <c r="F5" s="44">
        <v>125000</v>
      </c>
      <c r="G5" s="44">
        <v>120000</v>
      </c>
      <c r="H5" s="44">
        <v>125000</v>
      </c>
      <c r="I5" s="44"/>
      <c r="J5" s="44"/>
      <c r="K5" s="44"/>
      <c r="L5" s="44"/>
      <c r="M5" s="44"/>
      <c r="N5" s="44"/>
      <c r="O5" s="44"/>
      <c r="P5" s="44"/>
      <c r="Q5" s="44"/>
    </row>
    <row r="6" spans="1:17" ht="15.6" x14ac:dyDescent="0.3">
      <c r="A6" s="11"/>
      <c r="B6" s="2" t="s">
        <v>179</v>
      </c>
      <c r="C6" s="44">
        <v>20000</v>
      </c>
      <c r="D6" s="44">
        <v>10000</v>
      </c>
      <c r="E6" s="44">
        <v>10000</v>
      </c>
      <c r="F6" s="44">
        <v>10000</v>
      </c>
      <c r="G6" s="44">
        <v>10000</v>
      </c>
      <c r="H6" s="44">
        <v>10000</v>
      </c>
      <c r="I6" s="44"/>
      <c r="J6" s="44"/>
      <c r="K6" s="44"/>
      <c r="L6" s="44"/>
      <c r="M6" s="44"/>
      <c r="N6" s="44"/>
      <c r="O6" s="44"/>
      <c r="P6" s="44"/>
      <c r="Q6" s="44"/>
    </row>
    <row r="7" spans="1:17" ht="15.6" x14ac:dyDescent="0.3">
      <c r="A7" s="11"/>
      <c r="B7" s="2" t="s">
        <v>9</v>
      </c>
      <c r="C7" s="44">
        <v>13801</v>
      </c>
      <c r="D7" s="44">
        <v>13801</v>
      </c>
      <c r="E7" s="44">
        <v>13801</v>
      </c>
      <c r="F7" s="44">
        <v>13801</v>
      </c>
      <c r="G7" s="44">
        <v>13801</v>
      </c>
      <c r="H7" s="44">
        <v>13801</v>
      </c>
      <c r="I7" s="44"/>
      <c r="J7" s="44"/>
      <c r="K7" s="44"/>
      <c r="L7" s="44"/>
      <c r="M7" s="44"/>
      <c r="N7" s="44"/>
      <c r="O7" s="44"/>
      <c r="P7" s="44"/>
      <c r="Q7" s="44"/>
    </row>
    <row r="8" spans="1:17" ht="15.6" x14ac:dyDescent="0.3">
      <c r="A8" s="11"/>
      <c r="B8" s="2" t="s">
        <v>14</v>
      </c>
      <c r="C8" s="44">
        <v>1240</v>
      </c>
      <c r="D8" s="44">
        <v>1240</v>
      </c>
      <c r="E8" s="44">
        <v>1240</v>
      </c>
      <c r="F8" s="44">
        <v>1240</v>
      </c>
      <c r="G8" s="44">
        <v>1240</v>
      </c>
      <c r="H8" s="44">
        <v>1240</v>
      </c>
      <c r="I8" s="44"/>
      <c r="J8" s="44"/>
      <c r="K8" s="44"/>
      <c r="L8" s="44"/>
      <c r="M8" s="44"/>
      <c r="N8" s="44"/>
      <c r="O8" s="44"/>
      <c r="P8" s="44"/>
      <c r="Q8" s="44"/>
    </row>
    <row r="9" spans="1:17" ht="15.6" x14ac:dyDescent="0.3">
      <c r="A9" s="11"/>
      <c r="B9" s="2" t="s">
        <v>17</v>
      </c>
      <c r="C9" s="44">
        <v>14997</v>
      </c>
      <c r="D9" s="44">
        <v>14997</v>
      </c>
      <c r="E9" s="44">
        <v>14997</v>
      </c>
      <c r="F9" s="44">
        <v>14997</v>
      </c>
      <c r="G9" s="44">
        <v>14997</v>
      </c>
      <c r="H9" s="44">
        <v>14997</v>
      </c>
      <c r="I9" s="44"/>
      <c r="J9" s="44"/>
      <c r="K9" s="44"/>
      <c r="L9" s="44"/>
      <c r="M9" s="44"/>
      <c r="N9" s="44"/>
      <c r="O9" s="44"/>
      <c r="P9" s="44"/>
      <c r="Q9" s="44"/>
    </row>
    <row r="10" spans="1:17" ht="15.6" x14ac:dyDescent="0.3">
      <c r="A10" s="11"/>
      <c r="B10" s="2" t="s">
        <v>18</v>
      </c>
      <c r="C10" s="44">
        <v>3397</v>
      </c>
      <c r="D10" s="44">
        <v>3397</v>
      </c>
      <c r="E10" s="44">
        <v>3397</v>
      </c>
      <c r="F10" s="44">
        <v>3397</v>
      </c>
      <c r="G10" s="44">
        <v>3397</v>
      </c>
      <c r="H10" s="44">
        <v>3397</v>
      </c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5.6" x14ac:dyDescent="0.3">
      <c r="A11" s="11" t="s">
        <v>134</v>
      </c>
      <c r="B11" s="1" t="s">
        <v>2</v>
      </c>
      <c r="C11" s="45">
        <f>IFERROR(SUM(C5:C10),0)</f>
        <v>180435</v>
      </c>
      <c r="D11" s="45">
        <f>IFERROR(SUM(D5:D10),0)</f>
        <v>163435</v>
      </c>
      <c r="E11" s="45">
        <f t="shared" ref="E11:Q11" si="0">IFERROR(SUM(E5:E10),0)</f>
        <v>163435</v>
      </c>
      <c r="F11" s="45">
        <f t="shared" si="0"/>
        <v>168435</v>
      </c>
      <c r="G11" s="45">
        <f t="shared" si="0"/>
        <v>163435</v>
      </c>
      <c r="H11" s="45">
        <f t="shared" si="0"/>
        <v>168435</v>
      </c>
      <c r="I11" s="45">
        <f t="shared" si="0"/>
        <v>0</v>
      </c>
      <c r="J11" s="45">
        <f t="shared" si="0"/>
        <v>0</v>
      </c>
      <c r="K11" s="45">
        <f t="shared" si="0"/>
        <v>0</v>
      </c>
      <c r="L11" s="45">
        <f t="shared" si="0"/>
        <v>0</v>
      </c>
      <c r="M11" s="45">
        <f t="shared" si="0"/>
        <v>0</v>
      </c>
      <c r="N11" s="45">
        <f t="shared" si="0"/>
        <v>0</v>
      </c>
      <c r="O11" s="45">
        <f t="shared" si="0"/>
        <v>0</v>
      </c>
      <c r="P11" s="45">
        <f t="shared" si="0"/>
        <v>0</v>
      </c>
      <c r="Q11" s="45">
        <f t="shared" si="0"/>
        <v>0</v>
      </c>
    </row>
    <row r="12" spans="1:17" ht="15.6" x14ac:dyDescent="0.3">
      <c r="A12" s="11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</row>
    <row r="13" spans="1:17" ht="15.6" x14ac:dyDescent="0.3">
      <c r="A13" s="11"/>
      <c r="B13" s="1" t="s">
        <v>22</v>
      </c>
      <c r="C13" s="46">
        <v>45931</v>
      </c>
      <c r="D13" s="46">
        <v>45962</v>
      </c>
      <c r="E13" s="46">
        <v>45992</v>
      </c>
      <c r="F13" s="47" t="s">
        <v>144</v>
      </c>
      <c r="G13" s="47" t="s">
        <v>145</v>
      </c>
      <c r="H13" s="47" t="s">
        <v>146</v>
      </c>
      <c r="I13" s="47" t="s">
        <v>147</v>
      </c>
      <c r="J13" s="47" t="s">
        <v>148</v>
      </c>
      <c r="K13" s="47" t="s">
        <v>149</v>
      </c>
      <c r="L13" s="47" t="s">
        <v>150</v>
      </c>
      <c r="M13" s="47" t="s">
        <v>151</v>
      </c>
      <c r="N13" s="47" t="s">
        <v>152</v>
      </c>
      <c r="O13" s="47" t="s">
        <v>153</v>
      </c>
      <c r="P13" s="47" t="s">
        <v>154</v>
      </c>
      <c r="Q13" s="47" t="s">
        <v>155</v>
      </c>
    </row>
    <row r="14" spans="1:17" ht="15.6" x14ac:dyDescent="0.3">
      <c r="A14" s="11"/>
      <c r="B14" s="2" t="s">
        <v>1</v>
      </c>
      <c r="C14" s="44">
        <v>35000</v>
      </c>
      <c r="D14" s="44">
        <v>35000</v>
      </c>
      <c r="E14" s="44">
        <v>35000</v>
      </c>
      <c r="F14" s="44">
        <v>35000</v>
      </c>
      <c r="G14" s="44">
        <v>35000</v>
      </c>
      <c r="H14" s="44">
        <v>40000</v>
      </c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5.6" x14ac:dyDescent="0.3">
      <c r="A15" s="11"/>
      <c r="B15" s="2" t="s">
        <v>26</v>
      </c>
      <c r="C15" s="44">
        <v>7891</v>
      </c>
      <c r="D15" s="44">
        <v>7891</v>
      </c>
      <c r="E15" s="44">
        <v>7891</v>
      </c>
      <c r="F15" s="44">
        <v>7891</v>
      </c>
      <c r="G15" s="44">
        <v>7891</v>
      </c>
      <c r="H15" s="44">
        <v>7891</v>
      </c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5.6" x14ac:dyDescent="0.3">
      <c r="A16" s="11"/>
      <c r="B16" s="2" t="s">
        <v>32</v>
      </c>
      <c r="C16" s="44">
        <v>5000</v>
      </c>
      <c r="D16" s="44">
        <v>5000</v>
      </c>
      <c r="E16" s="44">
        <v>5000</v>
      </c>
      <c r="F16" s="44">
        <v>5000</v>
      </c>
      <c r="G16" s="44">
        <v>5000</v>
      </c>
      <c r="H16" s="44">
        <v>5000</v>
      </c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5.6" x14ac:dyDescent="0.3">
      <c r="A17" s="11"/>
      <c r="B17" s="2" t="s">
        <v>40</v>
      </c>
      <c r="C17" s="44">
        <v>35000</v>
      </c>
      <c r="D17" s="44">
        <v>35000</v>
      </c>
      <c r="E17" s="44">
        <v>35000</v>
      </c>
      <c r="F17" s="44">
        <v>35000</v>
      </c>
      <c r="G17" s="44">
        <v>35000</v>
      </c>
      <c r="H17" s="44">
        <v>35000</v>
      </c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5.6" x14ac:dyDescent="0.3">
      <c r="A18" s="11"/>
      <c r="B18" s="2" t="s">
        <v>46</v>
      </c>
      <c r="C18" s="44">
        <v>2800</v>
      </c>
      <c r="D18" s="44">
        <v>2800</v>
      </c>
      <c r="E18" s="44">
        <v>2800</v>
      </c>
      <c r="F18" s="44">
        <v>2800</v>
      </c>
      <c r="G18" s="44">
        <v>2800</v>
      </c>
      <c r="H18" s="44">
        <v>2800</v>
      </c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5.6" x14ac:dyDescent="0.3">
      <c r="A19" s="11"/>
      <c r="B19" s="2" t="s">
        <v>50</v>
      </c>
      <c r="C19" s="44">
        <v>1440</v>
      </c>
      <c r="D19" s="44">
        <v>1440</v>
      </c>
      <c r="E19" s="44">
        <v>1440</v>
      </c>
      <c r="F19" s="44">
        <v>1440</v>
      </c>
      <c r="G19" s="44">
        <v>1440</v>
      </c>
      <c r="H19" s="44">
        <v>1440</v>
      </c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5.6" x14ac:dyDescent="0.3">
      <c r="A20" s="11"/>
      <c r="B20" s="2" t="s">
        <v>53</v>
      </c>
      <c r="C20" s="44">
        <v>5000</v>
      </c>
      <c r="D20" s="44">
        <v>5000</v>
      </c>
      <c r="E20" s="44">
        <v>5000</v>
      </c>
      <c r="F20" s="44">
        <v>5000</v>
      </c>
      <c r="G20" s="44">
        <v>5000</v>
      </c>
      <c r="H20" s="44">
        <v>5000</v>
      </c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5.6" x14ac:dyDescent="0.3">
      <c r="A21" s="11" t="s">
        <v>135</v>
      </c>
      <c r="B21" s="1" t="s">
        <v>127</v>
      </c>
      <c r="C21" s="45">
        <f>IFERROR(SUM(C14:C20),0)</f>
        <v>92131</v>
      </c>
      <c r="D21" s="45">
        <f>IFERROR(SUM(D14:D20),0)</f>
        <v>92131</v>
      </c>
      <c r="E21" s="45">
        <f>IFERROR(SUM(E14:E20),0)</f>
        <v>92131</v>
      </c>
      <c r="F21" s="45">
        <f>IFERROR(SUM(F14:F20),0)</f>
        <v>92131</v>
      </c>
      <c r="G21" s="45">
        <f t="shared" ref="G21:Q21" si="1">IFERROR(SUM(G14:G20),0)</f>
        <v>92131</v>
      </c>
      <c r="H21" s="45">
        <f t="shared" si="1"/>
        <v>97131</v>
      </c>
      <c r="I21" s="45">
        <f t="shared" si="1"/>
        <v>0</v>
      </c>
      <c r="J21" s="45">
        <f t="shared" si="1"/>
        <v>0</v>
      </c>
      <c r="K21" s="45">
        <f t="shared" si="1"/>
        <v>0</v>
      </c>
      <c r="L21" s="45">
        <f t="shared" si="1"/>
        <v>0</v>
      </c>
      <c r="M21" s="45">
        <f t="shared" si="1"/>
        <v>0</v>
      </c>
      <c r="N21" s="45">
        <f t="shared" si="1"/>
        <v>0</v>
      </c>
      <c r="O21" s="45">
        <f t="shared" si="1"/>
        <v>0</v>
      </c>
      <c r="P21" s="45">
        <f t="shared" si="1"/>
        <v>0</v>
      </c>
      <c r="Q21" s="45">
        <f t="shared" si="1"/>
        <v>0</v>
      </c>
    </row>
    <row r="22" spans="1:17" ht="15.6" x14ac:dyDescent="0.3">
      <c r="A22" s="11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 ht="15.6" x14ac:dyDescent="0.3">
      <c r="A23" s="11"/>
      <c r="B23" s="1" t="s">
        <v>55</v>
      </c>
      <c r="C23" s="46">
        <v>45931</v>
      </c>
      <c r="D23" s="46">
        <v>45962</v>
      </c>
      <c r="E23" s="46">
        <v>45992</v>
      </c>
      <c r="F23" s="47" t="s">
        <v>144</v>
      </c>
      <c r="G23" s="47" t="s">
        <v>145</v>
      </c>
      <c r="H23" s="47" t="s">
        <v>146</v>
      </c>
      <c r="I23" s="47" t="s">
        <v>147</v>
      </c>
      <c r="J23" s="47" t="s">
        <v>148</v>
      </c>
      <c r="K23" s="47" t="s">
        <v>149</v>
      </c>
      <c r="L23" s="47" t="s">
        <v>150</v>
      </c>
      <c r="M23" s="47" t="s">
        <v>151</v>
      </c>
      <c r="N23" s="47" t="s">
        <v>152</v>
      </c>
      <c r="O23" s="47" t="s">
        <v>153</v>
      </c>
      <c r="P23" s="47" t="s">
        <v>154</v>
      </c>
      <c r="Q23" s="47" t="s">
        <v>155</v>
      </c>
    </row>
    <row r="24" spans="1:17" ht="15.6" x14ac:dyDescent="0.3">
      <c r="A24" s="11"/>
      <c r="B24" s="2" t="s">
        <v>56</v>
      </c>
      <c r="C24" s="44">
        <v>5937</v>
      </c>
      <c r="D24" s="44">
        <v>5937</v>
      </c>
      <c r="E24" s="44">
        <v>5937</v>
      </c>
      <c r="F24" s="44">
        <v>5937</v>
      </c>
      <c r="G24" s="44">
        <v>5937</v>
      </c>
      <c r="H24" s="44">
        <v>5937</v>
      </c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5.6" x14ac:dyDescent="0.3">
      <c r="A25" s="11"/>
      <c r="B25" s="2" t="s">
        <v>128</v>
      </c>
      <c r="C25" s="44">
        <v>5252</v>
      </c>
      <c r="D25" s="44">
        <v>5252</v>
      </c>
      <c r="E25" s="44">
        <v>5252</v>
      </c>
      <c r="F25" s="44">
        <v>5252</v>
      </c>
      <c r="G25" s="44">
        <v>5252</v>
      </c>
      <c r="H25" s="44">
        <v>5252</v>
      </c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5.6" x14ac:dyDescent="0.3">
      <c r="A26" s="11"/>
      <c r="B26" s="2" t="s">
        <v>129</v>
      </c>
      <c r="C26" s="44">
        <v>2083</v>
      </c>
      <c r="D26" s="44">
        <v>2083</v>
      </c>
      <c r="E26" s="44">
        <v>2083</v>
      </c>
      <c r="F26" s="44">
        <v>2083</v>
      </c>
      <c r="G26" s="44">
        <v>2083</v>
      </c>
      <c r="H26" s="44">
        <v>2083</v>
      </c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5.6" x14ac:dyDescent="0.3">
      <c r="A27" s="11"/>
      <c r="B27" s="2" t="s">
        <v>130</v>
      </c>
      <c r="C27" s="44">
        <v>1409</v>
      </c>
      <c r="D27" s="44">
        <v>1409</v>
      </c>
      <c r="E27" s="44">
        <v>1409</v>
      </c>
      <c r="F27" s="44">
        <v>1409</v>
      </c>
      <c r="G27" s="44">
        <v>1409</v>
      </c>
      <c r="H27" s="44">
        <v>1409</v>
      </c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5.6" x14ac:dyDescent="0.3">
      <c r="A28" s="11"/>
      <c r="B28" s="2" t="s">
        <v>131</v>
      </c>
      <c r="C28" s="44">
        <v>1907</v>
      </c>
      <c r="D28" s="44">
        <v>1907</v>
      </c>
      <c r="E28" s="44">
        <v>1907</v>
      </c>
      <c r="F28" s="44">
        <v>1907</v>
      </c>
      <c r="G28" s="44">
        <v>1907</v>
      </c>
      <c r="H28" s="44">
        <v>1907</v>
      </c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5.6" x14ac:dyDescent="0.3">
      <c r="A29" s="11" t="s">
        <v>136</v>
      </c>
      <c r="B29" s="1" t="s">
        <v>132</v>
      </c>
      <c r="C29" s="45">
        <f>IFERROR(SUM(C24:C28),0)</f>
        <v>16588</v>
      </c>
      <c r="D29" s="45">
        <f t="shared" ref="D29:Q29" si="2">IFERROR(SUM(D24:D28),0)</f>
        <v>16588</v>
      </c>
      <c r="E29" s="45">
        <f t="shared" si="2"/>
        <v>16588</v>
      </c>
      <c r="F29" s="45">
        <f t="shared" si="2"/>
        <v>16588</v>
      </c>
      <c r="G29" s="45">
        <f t="shared" si="2"/>
        <v>16588</v>
      </c>
      <c r="H29" s="45">
        <f t="shared" si="2"/>
        <v>16588</v>
      </c>
      <c r="I29" s="45">
        <f t="shared" si="2"/>
        <v>0</v>
      </c>
      <c r="J29" s="45">
        <f t="shared" si="2"/>
        <v>0</v>
      </c>
      <c r="K29" s="45">
        <f t="shared" si="2"/>
        <v>0</v>
      </c>
      <c r="L29" s="45">
        <f t="shared" si="2"/>
        <v>0</v>
      </c>
      <c r="M29" s="45">
        <f t="shared" si="2"/>
        <v>0</v>
      </c>
      <c r="N29" s="45">
        <f t="shared" si="2"/>
        <v>0</v>
      </c>
      <c r="O29" s="45">
        <f t="shared" si="2"/>
        <v>0</v>
      </c>
      <c r="P29" s="45">
        <f t="shared" si="2"/>
        <v>0</v>
      </c>
      <c r="Q29" s="45">
        <f t="shared" si="2"/>
        <v>0</v>
      </c>
    </row>
    <row r="30" spans="1:17" ht="15.6" x14ac:dyDescent="0.3">
      <c r="A30" s="11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  <row r="31" spans="1:17" ht="15.6" x14ac:dyDescent="0.3">
      <c r="A31" s="11" t="s">
        <v>137</v>
      </c>
      <c r="B31" s="1" t="s">
        <v>142</v>
      </c>
      <c r="C31" s="45">
        <f>IFERROR(C21+C29,0)</f>
        <v>108719</v>
      </c>
      <c r="D31" s="45">
        <f t="shared" ref="D31:Q31" si="3">IFERROR(D21+D29,0)</f>
        <v>108719</v>
      </c>
      <c r="E31" s="45">
        <f t="shared" si="3"/>
        <v>108719</v>
      </c>
      <c r="F31" s="45">
        <f t="shared" si="3"/>
        <v>108719</v>
      </c>
      <c r="G31" s="45">
        <f t="shared" si="3"/>
        <v>108719</v>
      </c>
      <c r="H31" s="45">
        <f t="shared" si="3"/>
        <v>113719</v>
      </c>
      <c r="I31" s="45">
        <f t="shared" si="3"/>
        <v>0</v>
      </c>
      <c r="J31" s="45">
        <f t="shared" si="3"/>
        <v>0</v>
      </c>
      <c r="K31" s="45">
        <f t="shared" si="3"/>
        <v>0</v>
      </c>
      <c r="L31" s="45">
        <f t="shared" si="3"/>
        <v>0</v>
      </c>
      <c r="M31" s="45">
        <f t="shared" si="3"/>
        <v>0</v>
      </c>
      <c r="N31" s="45">
        <f t="shared" si="3"/>
        <v>0</v>
      </c>
      <c r="O31" s="45">
        <f t="shared" si="3"/>
        <v>0</v>
      </c>
      <c r="P31" s="45">
        <f t="shared" si="3"/>
        <v>0</v>
      </c>
      <c r="Q31" s="45">
        <f t="shared" si="3"/>
        <v>0</v>
      </c>
    </row>
    <row r="32" spans="1:17" ht="15.6" x14ac:dyDescent="0.3">
      <c r="A32" s="11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</row>
    <row r="33" spans="1:17" ht="15.6" x14ac:dyDescent="0.3">
      <c r="A33" s="11" t="s">
        <v>138</v>
      </c>
      <c r="B33" s="1" t="s">
        <v>141</v>
      </c>
      <c r="C33" s="45">
        <f>IFERROR(C11-C31,0)</f>
        <v>71716</v>
      </c>
      <c r="D33" s="45">
        <f>IFERROR(D11-D31,0)</f>
        <v>54716</v>
      </c>
      <c r="E33" s="45">
        <f t="shared" ref="E33:Q33" si="4">IFERROR(E11-E31,0)</f>
        <v>54716</v>
      </c>
      <c r="F33" s="45">
        <f t="shared" si="4"/>
        <v>59716</v>
      </c>
      <c r="G33" s="45">
        <f t="shared" si="4"/>
        <v>54716</v>
      </c>
      <c r="H33" s="45">
        <f t="shared" si="4"/>
        <v>54716</v>
      </c>
      <c r="I33" s="45">
        <f t="shared" si="4"/>
        <v>0</v>
      </c>
      <c r="J33" s="45">
        <f t="shared" si="4"/>
        <v>0</v>
      </c>
      <c r="K33" s="45">
        <f t="shared" si="4"/>
        <v>0</v>
      </c>
      <c r="L33" s="45">
        <f t="shared" si="4"/>
        <v>0</v>
      </c>
      <c r="M33" s="45">
        <f t="shared" si="4"/>
        <v>0</v>
      </c>
      <c r="N33" s="45">
        <f t="shared" si="4"/>
        <v>0</v>
      </c>
      <c r="O33" s="45">
        <f t="shared" si="4"/>
        <v>0</v>
      </c>
      <c r="P33" s="45">
        <f t="shared" si="4"/>
        <v>0</v>
      </c>
      <c r="Q33" s="45">
        <f t="shared" si="4"/>
        <v>0</v>
      </c>
    </row>
    <row r="34" spans="1:17" ht="15.6" x14ac:dyDescent="0.3">
      <c r="A34" s="11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</row>
    <row r="35" spans="1:17" ht="15.6" x14ac:dyDescent="0.3">
      <c r="A35" s="11"/>
      <c r="B35" s="1" t="s">
        <v>74</v>
      </c>
      <c r="C35" s="46">
        <v>45931</v>
      </c>
      <c r="D35" s="46">
        <v>45962</v>
      </c>
      <c r="E35" s="46">
        <v>45992</v>
      </c>
      <c r="F35" s="47" t="s">
        <v>144</v>
      </c>
      <c r="G35" s="47" t="s">
        <v>145</v>
      </c>
      <c r="H35" s="47" t="s">
        <v>146</v>
      </c>
      <c r="I35" s="47" t="s">
        <v>147</v>
      </c>
      <c r="J35" s="47" t="s">
        <v>148</v>
      </c>
      <c r="K35" s="47" t="s">
        <v>149</v>
      </c>
      <c r="L35" s="47" t="s">
        <v>150</v>
      </c>
      <c r="M35" s="47" t="s">
        <v>151</v>
      </c>
      <c r="N35" s="47" t="s">
        <v>152</v>
      </c>
      <c r="O35" s="47" t="s">
        <v>153</v>
      </c>
      <c r="P35" s="47" t="s">
        <v>154</v>
      </c>
      <c r="Q35" s="47" t="s">
        <v>155</v>
      </c>
    </row>
    <row r="36" spans="1:17" ht="15.6" x14ac:dyDescent="0.3">
      <c r="A36" s="11"/>
      <c r="B36" s="2" t="s">
        <v>75</v>
      </c>
      <c r="C36" s="44">
        <v>10000</v>
      </c>
      <c r="D36" s="44">
        <v>10000</v>
      </c>
      <c r="E36" s="44">
        <v>10000</v>
      </c>
      <c r="F36" s="44">
        <v>10000</v>
      </c>
      <c r="G36" s="44">
        <v>10000</v>
      </c>
      <c r="H36" s="44">
        <v>10000</v>
      </c>
      <c r="I36" s="44"/>
      <c r="J36" s="44"/>
      <c r="K36" s="44"/>
      <c r="L36" s="44"/>
      <c r="M36" s="44"/>
      <c r="N36" s="44"/>
      <c r="O36" s="44"/>
      <c r="P36" s="44"/>
      <c r="Q36" s="44"/>
    </row>
    <row r="37" spans="1:17" ht="15.6" x14ac:dyDescent="0.3">
      <c r="A37" s="11"/>
      <c r="B37" s="2" t="s">
        <v>76</v>
      </c>
      <c r="C37" s="44">
        <v>3000</v>
      </c>
      <c r="D37" s="44">
        <v>3000</v>
      </c>
      <c r="E37" s="44">
        <v>3000</v>
      </c>
      <c r="F37" s="44">
        <v>3000</v>
      </c>
      <c r="G37" s="44">
        <v>3000</v>
      </c>
      <c r="H37" s="44">
        <v>3000</v>
      </c>
      <c r="I37" s="44"/>
      <c r="J37" s="44"/>
      <c r="K37" s="44"/>
      <c r="L37" s="44"/>
      <c r="M37" s="44"/>
      <c r="N37" s="44"/>
      <c r="O37" s="44"/>
      <c r="P37" s="44"/>
      <c r="Q37" s="44"/>
    </row>
    <row r="38" spans="1:17" ht="15.6" x14ac:dyDescent="0.3">
      <c r="A38" s="11"/>
      <c r="B38" s="2" t="s">
        <v>78</v>
      </c>
      <c r="C38" s="44">
        <v>0</v>
      </c>
      <c r="D38" s="44">
        <v>0</v>
      </c>
      <c r="E38" s="44">
        <v>0</v>
      </c>
      <c r="F38" s="44">
        <v>0</v>
      </c>
      <c r="G38" s="44">
        <v>0</v>
      </c>
      <c r="H38" s="44">
        <v>0</v>
      </c>
      <c r="I38" s="44"/>
      <c r="J38" s="44"/>
      <c r="K38" s="44"/>
      <c r="L38" s="44"/>
      <c r="M38" s="44"/>
      <c r="N38" s="44"/>
      <c r="O38" s="44"/>
      <c r="P38" s="44"/>
      <c r="Q38" s="44"/>
    </row>
    <row r="39" spans="1:17" ht="15.6" x14ac:dyDescent="0.3">
      <c r="A39" s="11"/>
      <c r="B39" s="2" t="s">
        <v>80</v>
      </c>
      <c r="C39" s="44">
        <v>10000</v>
      </c>
      <c r="D39" s="44">
        <v>10000</v>
      </c>
      <c r="E39" s="44">
        <v>10000</v>
      </c>
      <c r="F39" s="44">
        <v>10000</v>
      </c>
      <c r="G39" s="44">
        <v>10000</v>
      </c>
      <c r="H39" s="44">
        <v>10000</v>
      </c>
      <c r="I39" s="44"/>
      <c r="J39" s="44"/>
      <c r="K39" s="44"/>
      <c r="L39" s="44"/>
      <c r="M39" s="44"/>
      <c r="N39" s="44"/>
      <c r="O39" s="44"/>
      <c r="P39" s="44"/>
      <c r="Q39" s="44"/>
    </row>
    <row r="40" spans="1:17" ht="15.6" x14ac:dyDescent="0.3">
      <c r="A40" s="11"/>
      <c r="B40" s="2" t="s">
        <v>82</v>
      </c>
      <c r="C40" s="44">
        <v>0</v>
      </c>
      <c r="D40" s="44">
        <v>15000</v>
      </c>
      <c r="E40" s="44">
        <v>25000</v>
      </c>
      <c r="F40" s="44">
        <v>25000</v>
      </c>
      <c r="G40" s="44">
        <v>25000</v>
      </c>
      <c r="H40" s="44">
        <v>25000</v>
      </c>
      <c r="I40" s="44"/>
      <c r="J40" s="44"/>
      <c r="K40" s="44"/>
      <c r="L40" s="44"/>
      <c r="M40" s="44"/>
      <c r="N40" s="44"/>
      <c r="O40" s="44"/>
      <c r="P40" s="44"/>
      <c r="Q40" s="44"/>
    </row>
    <row r="41" spans="1:17" ht="15.6" x14ac:dyDescent="0.3">
      <c r="A41" s="11"/>
      <c r="B41" s="2" t="s">
        <v>83</v>
      </c>
      <c r="C41" s="44">
        <v>0</v>
      </c>
      <c r="D41" s="44">
        <v>0</v>
      </c>
      <c r="E41" s="44">
        <v>0</v>
      </c>
      <c r="F41" s="44">
        <v>0</v>
      </c>
      <c r="G41" s="44">
        <v>0</v>
      </c>
      <c r="H41" s="44">
        <v>0</v>
      </c>
      <c r="I41" s="44"/>
      <c r="J41" s="44"/>
      <c r="K41" s="44"/>
      <c r="L41" s="44"/>
      <c r="M41" s="44"/>
      <c r="N41" s="44"/>
      <c r="O41" s="44"/>
      <c r="P41" s="44"/>
      <c r="Q41" s="44"/>
    </row>
    <row r="42" spans="1:17" ht="15.6" x14ac:dyDescent="0.3">
      <c r="A42" s="11"/>
      <c r="B42" s="2" t="s">
        <v>84</v>
      </c>
      <c r="C42" s="44">
        <v>5000</v>
      </c>
      <c r="D42" s="44">
        <v>5000</v>
      </c>
      <c r="E42" s="44">
        <v>5000</v>
      </c>
      <c r="F42" s="44">
        <v>5000</v>
      </c>
      <c r="G42" s="44">
        <v>5000</v>
      </c>
      <c r="H42" s="44">
        <v>5000</v>
      </c>
      <c r="I42" s="44"/>
      <c r="J42" s="44"/>
      <c r="K42" s="44"/>
      <c r="L42" s="44"/>
      <c r="M42" s="44"/>
      <c r="N42" s="44"/>
      <c r="O42" s="44"/>
      <c r="P42" s="44"/>
      <c r="Q42" s="44"/>
    </row>
    <row r="43" spans="1:17" ht="15.6" x14ac:dyDescent="0.3">
      <c r="A43" s="11"/>
      <c r="B43" s="2" t="s">
        <v>87</v>
      </c>
      <c r="C43" s="44">
        <v>1000</v>
      </c>
      <c r="D43" s="44">
        <v>0</v>
      </c>
      <c r="E43" s="44">
        <v>0</v>
      </c>
      <c r="F43" s="44">
        <v>0</v>
      </c>
      <c r="G43" s="44">
        <v>0</v>
      </c>
      <c r="H43" s="44">
        <v>0</v>
      </c>
      <c r="I43" s="44"/>
      <c r="J43" s="44"/>
      <c r="K43" s="44"/>
      <c r="L43" s="44"/>
      <c r="M43" s="44"/>
      <c r="N43" s="44"/>
      <c r="O43" s="44"/>
      <c r="P43" s="44"/>
      <c r="Q43" s="44"/>
    </row>
    <row r="44" spans="1:17" ht="15.6" x14ac:dyDescent="0.3">
      <c r="A44" s="11"/>
      <c r="B44" s="2" t="s">
        <v>92</v>
      </c>
      <c r="C44" s="44">
        <v>0</v>
      </c>
      <c r="D44" s="44">
        <v>0</v>
      </c>
      <c r="E44" s="44">
        <v>0</v>
      </c>
      <c r="F44" s="44">
        <v>0</v>
      </c>
      <c r="G44" s="44">
        <v>0</v>
      </c>
      <c r="H44" s="44">
        <v>0</v>
      </c>
      <c r="I44" s="44"/>
      <c r="J44" s="44"/>
      <c r="K44" s="44"/>
      <c r="L44" s="44"/>
      <c r="M44" s="44"/>
      <c r="N44" s="44"/>
      <c r="O44" s="44"/>
      <c r="P44" s="44"/>
      <c r="Q44" s="44"/>
    </row>
    <row r="45" spans="1:17" ht="15.6" x14ac:dyDescent="0.3">
      <c r="A45" s="11" t="s">
        <v>139</v>
      </c>
      <c r="B45" s="1" t="s">
        <v>133</v>
      </c>
      <c r="C45" s="45">
        <f>IFERROR(SUM(C36:C44),0)</f>
        <v>29000</v>
      </c>
      <c r="D45" s="45">
        <f t="shared" ref="D45:Q45" si="5">IFERROR(SUM(D36:D44),0)</f>
        <v>43000</v>
      </c>
      <c r="E45" s="45">
        <f t="shared" si="5"/>
        <v>53000</v>
      </c>
      <c r="F45" s="45">
        <f t="shared" si="5"/>
        <v>53000</v>
      </c>
      <c r="G45" s="45">
        <f t="shared" si="5"/>
        <v>53000</v>
      </c>
      <c r="H45" s="45">
        <f t="shared" si="5"/>
        <v>53000</v>
      </c>
      <c r="I45" s="45">
        <f t="shared" si="5"/>
        <v>0</v>
      </c>
      <c r="J45" s="45">
        <f t="shared" si="5"/>
        <v>0</v>
      </c>
      <c r="K45" s="45">
        <f t="shared" si="5"/>
        <v>0</v>
      </c>
      <c r="L45" s="45">
        <f t="shared" si="5"/>
        <v>0</v>
      </c>
      <c r="M45" s="45">
        <f t="shared" si="5"/>
        <v>0</v>
      </c>
      <c r="N45" s="45">
        <f t="shared" si="5"/>
        <v>0</v>
      </c>
      <c r="O45" s="45">
        <f t="shared" si="5"/>
        <v>0</v>
      </c>
      <c r="P45" s="45">
        <f t="shared" si="5"/>
        <v>0</v>
      </c>
      <c r="Q45" s="45">
        <f t="shared" si="5"/>
        <v>0</v>
      </c>
    </row>
    <row r="46" spans="1:17" ht="15.6" x14ac:dyDescent="0.3">
      <c r="A46" s="11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</row>
    <row r="47" spans="1:17" ht="15.6" x14ac:dyDescent="0.3">
      <c r="A47" s="11" t="s">
        <v>180</v>
      </c>
      <c r="B47" s="1" t="s">
        <v>157</v>
      </c>
      <c r="C47" s="45">
        <f>IFERROR(C33-C45,0)</f>
        <v>42716</v>
      </c>
      <c r="D47" s="45">
        <f t="shared" ref="D47:Q47" si="6">IFERROR(D33-D45,0)</f>
        <v>11716</v>
      </c>
      <c r="E47" s="45">
        <f t="shared" si="6"/>
        <v>1716</v>
      </c>
      <c r="F47" s="45">
        <f t="shared" si="6"/>
        <v>6716</v>
      </c>
      <c r="G47" s="45">
        <f t="shared" si="6"/>
        <v>1716</v>
      </c>
      <c r="H47" s="45">
        <f t="shared" si="6"/>
        <v>1716</v>
      </c>
      <c r="I47" s="45">
        <f t="shared" si="6"/>
        <v>0</v>
      </c>
      <c r="J47" s="45">
        <f t="shared" si="6"/>
        <v>0</v>
      </c>
      <c r="K47" s="45">
        <f t="shared" si="6"/>
        <v>0</v>
      </c>
      <c r="L47" s="45">
        <f t="shared" si="6"/>
        <v>0</v>
      </c>
      <c r="M47" s="45">
        <f t="shared" si="6"/>
        <v>0</v>
      </c>
      <c r="N47" s="45">
        <f t="shared" si="6"/>
        <v>0</v>
      </c>
      <c r="O47" s="45">
        <f t="shared" si="6"/>
        <v>0</v>
      </c>
      <c r="P47" s="45">
        <f t="shared" si="6"/>
        <v>0</v>
      </c>
      <c r="Q47" s="45">
        <f t="shared" si="6"/>
        <v>0</v>
      </c>
    </row>
    <row r="48" spans="1:17" ht="15.6" x14ac:dyDescent="0.3"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</row>
  </sheetData>
  <mergeCells count="1">
    <mergeCell ref="B2:Q2"/>
  </mergeCells>
  <dataValidations count="4">
    <dataValidation allowBlank="1" showInputMessage="1" showErrorMessage="1" promptTitle="DO NOT WRITE " prompt="THIS CELL IS FORMULA BASED" sqref="C47:Q47" xr:uid="{9443E4E8-4D5A-44E4-A3F8-41728AA7031E}"/>
    <dataValidation allowBlank="1" showInputMessage="1" showErrorMessage="1" promptTitle="DO NOT WRITE" prompt="THIS CELL IS FORMULA BASED" sqref="C29:Q29 C31:Q31 C33:Q33 C45:Q45" xr:uid="{E68832C8-E9F8-473F-A396-17D1B234BDF5}"/>
    <dataValidation allowBlank="1" showInputMessage="1" showErrorMessage="1" errorTitle="DO NOT OVERWRITE" error="CELL IS FORMULA BASED" promptTitle="DO NOT WRITE" prompt="DO NOT WRITE THIS CELL IS FORMULA BASED" sqref="C21:Q21" xr:uid="{6BD4E567-055A-438F-98FF-23216CAECC4B}"/>
    <dataValidation allowBlank="1" showInputMessage="1" showErrorMessage="1" errorTitle="NOT EDITABLE" error="THIS CELL IS FORMULA BASED" promptTitle="Do Not Write" prompt="Cell is formula based, Do Not Over Write" sqref="C11:Q11" xr:uid="{ACB14310-3662-45BC-8CEA-4D852E77F7AA}"/>
  </dataValidations>
  <printOptions horizontalCentered="1" verticalCentered="1"/>
  <pageMargins left="0.39370078740157483" right="0.39370078740157483" top="0.39370078740157483" bottom="0.39370078740157483" header="0.39370078740157483" footer="0.39370078740157483"/>
  <pageSetup paperSize="9" scale="69" orientation="landscape" r:id="rId1"/>
  <ignoredErrors>
    <ignoredError sqref="C11:Q11 C21:Q21 C45:Q45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FinanceForm">
                <anchor moveWithCells="1" sizeWithCells="1">
                  <from>
                    <xdr:col>18</xdr:col>
                    <xdr:colOff>167640</xdr:colOff>
                    <xdr:row>2</xdr:row>
                    <xdr:rowOff>83820</xdr:rowOff>
                  </from>
                  <to>
                    <xdr:col>21</xdr:col>
                    <xdr:colOff>76200</xdr:colOff>
                    <xdr:row>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</vt:i4>
      </vt:variant>
    </vt:vector>
  </HeadingPairs>
  <TitlesOfParts>
    <vt:vector size="13" baseType="lpstr">
      <vt:lpstr>Notes</vt:lpstr>
      <vt:lpstr>Instructions</vt:lpstr>
      <vt:lpstr>Dashboard</vt:lpstr>
      <vt:lpstr>Cashflows</vt:lpstr>
      <vt:lpstr>Variance</vt:lpstr>
      <vt:lpstr>Actual</vt:lpstr>
      <vt:lpstr>Total Investments</vt:lpstr>
      <vt:lpstr>Budget</vt:lpstr>
      <vt:lpstr>Inputs</vt:lpstr>
      <vt:lpstr>DATA</vt:lpstr>
      <vt:lpstr>Cashflows!Print_Area</vt:lpstr>
      <vt:lpstr>DATA!Print_Area</vt:lpstr>
      <vt:lpstr>Variance!Print_Area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Akash Khadkikar</dc:creator>
  <cp:lastModifiedBy>Akash Khadkikar</cp:lastModifiedBy>
  <cp:lastPrinted>2025-10-20T15:21:34Z</cp:lastPrinted>
  <dcterms:created xsi:type="dcterms:W3CDTF">2015-06-05T18:17:20Z</dcterms:created>
  <dcterms:modified xsi:type="dcterms:W3CDTF">2025-10-20T15:21:45Z</dcterms:modified>
</cp:coreProperties>
</file>